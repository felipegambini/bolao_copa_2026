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rafael.cavallari\Desktop\Bolão Copa\Palpites\Palpites\"/>
    </mc:Choice>
  </mc:AlternateContent>
  <xr:revisionPtr revIDLastSave="0" documentId="8_{02553058-454F-477B-8285-5415EE071747}" xr6:coauthVersionLast="47" xr6:coauthVersionMax="47" xr10:uidLastSave="{00000000-0000-0000-0000-000000000000}"/>
  <bookViews>
    <workbookView xWindow="-108" yWindow="-108" windowWidth="23256" windowHeight="12456" tabRatio="910" xr2:uid="{3D27D9CD-EA4C-4B24-9486-94608A8EEAB2}"/>
  </bookViews>
  <sheets>
    <sheet name="Resultado Real" sheetId="3" r:id="rId1"/>
    <sheet name="Ranking" sheetId="4" state="hidden" r:id="rId2"/>
    <sheet name="Layout Compartilhável" sheetId="6" state="hidden" r:id="rId3"/>
    <sheet name="Macro Palpite" sheetId="5" state="hidden" r:id="rId4"/>
    <sheet name="Agnaldo" sheetId="58" r:id="rId5"/>
    <sheet name="Alessandro Pignata" sheetId="36" r:id="rId6"/>
    <sheet name="Allan Ribeiro" sheetId="102" r:id="rId7"/>
    <sheet name="Benjamin Cavallari" sheetId="37" r:id="rId8"/>
    <sheet name="Breno" sheetId="103" r:id="rId9"/>
    <sheet name="Bruno Firmino" sheetId="38" r:id="rId10"/>
    <sheet name="Caique Pereira" sheetId="114" r:id="rId11"/>
    <sheet name="Carlos Malta" sheetId="59" r:id="rId12"/>
    <sheet name="Carlos (Grilo)" sheetId="60" r:id="rId13"/>
    <sheet name="Carlos Rocha (Carlinho)" sheetId="61" r:id="rId14"/>
    <sheet name="Claudiomar Belao" sheetId="39" r:id="rId15"/>
    <sheet name="Daniel Batista" sheetId="62" r:id="rId16"/>
    <sheet name="Daniel Marroni" sheetId="63" r:id="rId17"/>
    <sheet name="Danilo Devico" sheetId="104" r:id="rId18"/>
    <sheet name="Dercio Batista" sheetId="64" r:id="rId19"/>
    <sheet name="Dionisio Junior" sheetId="65" r:id="rId20"/>
    <sheet name="Dirce Batista" sheetId="66" r:id="rId21"/>
    <sheet name="Dirceu Duarte" sheetId="40" r:id="rId22"/>
    <sheet name="Eduardo Colli" sheetId="41" r:id="rId23"/>
    <sheet name="Emerson Batta" sheetId="113" r:id="rId24"/>
    <sheet name="Eneias Aguiar" sheetId="67" r:id="rId25"/>
    <sheet name="Fabio Resende" sheetId="96" r:id="rId26"/>
    <sheet name="Felipe Gambini" sheetId="42" r:id="rId27"/>
    <sheet name="Gabriel Cavallari" sheetId="68" r:id="rId28"/>
    <sheet name="Gabriel Rubinho" sheetId="69" r:id="rId29"/>
    <sheet name="Gustavo Cavallari" sheetId="43" r:id="rId30"/>
    <sheet name="Henrique Landin" sheetId="100" r:id="rId31"/>
    <sheet name="Higor Frez" sheetId="44" r:id="rId32"/>
    <sheet name="Humberto Mozer" sheetId="45" r:id="rId33"/>
    <sheet name="Iann Altimari" sheetId="71" r:id="rId34"/>
    <sheet name="Jean Rocha" sheetId="72" r:id="rId35"/>
    <sheet name="Jonatas Andrade" sheetId="73" r:id="rId36"/>
    <sheet name="Julio Lima" sheetId="46" r:id="rId37"/>
    <sheet name="Junior (Goiaba)" sheetId="75" r:id="rId38"/>
    <sheet name="Kayky Rocha" sheetId="76" r:id="rId39"/>
    <sheet name="Kim" sheetId="106" r:id="rId40"/>
    <sheet name="Lincoln Macena" sheetId="47" r:id="rId41"/>
    <sheet name="Luan Altimari" sheetId="48" r:id="rId42"/>
    <sheet name="Lucas Aguiar" sheetId="107" r:id="rId43"/>
    <sheet name="Lucas Altimari" sheetId="78" r:id="rId44"/>
    <sheet name="Lucas Mota" sheetId="101" r:id="rId45"/>
    <sheet name="Luis Alfredo" sheetId="79" r:id="rId46"/>
    <sheet name="Luis Gustavo Pereira" sheetId="49" r:id="rId47"/>
    <sheet name="Luiz Belmiro" sheetId="97" r:id="rId48"/>
    <sheet name="Luiz Fernando" sheetId="108" r:id="rId49"/>
    <sheet name="Marcos Ferreira" sheetId="80" r:id="rId50"/>
    <sheet name="Marcão Penap" sheetId="50" r:id="rId51"/>
    <sheet name="Marlon Batista" sheetId="81" r:id="rId52"/>
    <sheet name="Mauro Paladino" sheetId="112" r:id="rId53"/>
    <sheet name="Murilo Ferreira" sheetId="82" r:id="rId54"/>
    <sheet name="Murilo Rocha" sheetId="83" r:id="rId55"/>
    <sheet name="Ortega" sheetId="84" r:id="rId56"/>
    <sheet name="Osmar Locatelli" sheetId="85" r:id="rId57"/>
    <sheet name="Paulinho Altimari" sheetId="86" r:id="rId58"/>
    <sheet name="Paulo Lalli" sheetId="109" r:id="rId59"/>
    <sheet name="Pedro Almeida" sheetId="87" r:id="rId60"/>
    <sheet name="Rafael Cavallari" sheetId="51" r:id="rId61"/>
    <sheet name="Rafael de Oliveira" sheetId="88" r:id="rId62"/>
    <sheet name="Raul" sheetId="111" r:id="rId63"/>
    <sheet name="Renato Locatelli" sheetId="89" r:id="rId64"/>
    <sheet name="Ricardo Alonso" sheetId="52" r:id="rId65"/>
    <sheet name="Rogério Penap" sheetId="53" r:id="rId66"/>
    <sheet name="Ronan" sheetId="110" r:id="rId67"/>
    <sheet name="Rordão" sheetId="99" r:id="rId68"/>
    <sheet name="Tadeu" sheetId="90" r:id="rId69"/>
    <sheet name="Théo Cavallari" sheetId="54" r:id="rId70"/>
    <sheet name="Thiago Alberto" sheetId="91" r:id="rId71"/>
    <sheet name="Thiago de Paula" sheetId="92" r:id="rId72"/>
    <sheet name="Tiago Marques" sheetId="93" r:id="rId73"/>
    <sheet name="Vitor Oliveira" sheetId="98" r:id="rId74"/>
    <sheet name="Wesley Alonso" sheetId="55" r:id="rId75"/>
    <sheet name="Willian Mochi" sheetId="94" r:id="rId76"/>
    <sheet name="Wilson Beninca" sheetId="95" r:id="rId77"/>
  </sheets>
  <definedNames>
    <definedName name="_xlnm.Print_Area" localSheetId="55">Tabela_33453[[#All],[Data]:[Visitante]]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0" i="58" l="1"/>
  <c r="I2" i="40"/>
  <c r="I2" i="114"/>
  <c r="I3" i="114"/>
  <c r="I4" i="114"/>
  <c r="I5" i="114"/>
  <c r="I6" i="114"/>
  <c r="I7" i="114"/>
  <c r="I8" i="114"/>
  <c r="I9" i="114"/>
  <c r="I10" i="114"/>
  <c r="I11" i="114"/>
  <c r="I12" i="114"/>
  <c r="I13" i="114"/>
  <c r="I14" i="114"/>
  <c r="I15" i="114"/>
  <c r="I16" i="114"/>
  <c r="I17" i="114"/>
  <c r="I18" i="114"/>
  <c r="I19" i="114"/>
  <c r="I20" i="114"/>
  <c r="I21" i="114"/>
  <c r="I22" i="114"/>
  <c r="I23" i="114"/>
  <c r="I24" i="114"/>
  <c r="I25" i="114"/>
  <c r="I26" i="114"/>
  <c r="I27" i="114"/>
  <c r="I28" i="114"/>
  <c r="I29" i="114"/>
  <c r="I30" i="114"/>
  <c r="I31" i="114"/>
  <c r="I32" i="114"/>
  <c r="I33" i="114"/>
  <c r="I34" i="114"/>
  <c r="I35" i="114"/>
  <c r="I36" i="114"/>
  <c r="I37" i="114"/>
  <c r="I38" i="114"/>
  <c r="I39" i="114"/>
  <c r="I40" i="114"/>
  <c r="I41" i="114"/>
  <c r="I42" i="114"/>
  <c r="I43" i="114"/>
  <c r="I44" i="114"/>
  <c r="I45" i="114"/>
  <c r="I46" i="114"/>
  <c r="I47" i="114"/>
  <c r="I48" i="114"/>
  <c r="I49" i="114"/>
  <c r="I50" i="114"/>
  <c r="I51" i="114"/>
  <c r="I52" i="114"/>
  <c r="I53" i="114"/>
  <c r="I54" i="114"/>
  <c r="I55" i="114"/>
  <c r="I56" i="114"/>
  <c r="I57" i="114"/>
  <c r="I58" i="114"/>
  <c r="I59" i="114"/>
  <c r="I60" i="114"/>
  <c r="I61" i="114"/>
  <c r="I62" i="114"/>
  <c r="I63" i="114"/>
  <c r="I64" i="114"/>
  <c r="I65" i="114"/>
  <c r="I66" i="114"/>
  <c r="I67" i="114"/>
  <c r="I68" i="114"/>
  <c r="I69" i="114"/>
  <c r="I70" i="114"/>
  <c r="I71" i="114"/>
  <c r="I72" i="114"/>
  <c r="I73" i="114"/>
  <c r="I13" i="113"/>
  <c r="I4" i="113"/>
  <c r="I2" i="113"/>
  <c r="I3" i="113"/>
  <c r="I5" i="113"/>
  <c r="I6" i="113"/>
  <c r="I7" i="113"/>
  <c r="I8" i="113"/>
  <c r="I9" i="113"/>
  <c r="I10" i="113"/>
  <c r="I11" i="113"/>
  <c r="I12" i="113"/>
  <c r="I14" i="113"/>
  <c r="I15" i="113"/>
  <c r="I16" i="113"/>
  <c r="I17" i="113"/>
  <c r="I18" i="113"/>
  <c r="I19" i="113"/>
  <c r="I20" i="113"/>
  <c r="I21" i="113"/>
  <c r="I22" i="113"/>
  <c r="I23" i="113"/>
  <c r="I24" i="113"/>
  <c r="I25" i="113"/>
  <c r="I26" i="113"/>
  <c r="I27" i="113"/>
  <c r="I28" i="113"/>
  <c r="I29" i="113"/>
  <c r="I30" i="113"/>
  <c r="I31" i="113"/>
  <c r="I32" i="113"/>
  <c r="I33" i="113"/>
  <c r="I34" i="113"/>
  <c r="I35" i="113"/>
  <c r="I36" i="113"/>
  <c r="I37" i="113"/>
  <c r="I38" i="113"/>
  <c r="I39" i="113"/>
  <c r="I40" i="113"/>
  <c r="I41" i="113"/>
  <c r="I42" i="113"/>
  <c r="I43" i="113"/>
  <c r="I44" i="113"/>
  <c r="I45" i="113"/>
  <c r="I46" i="113"/>
  <c r="I47" i="113"/>
  <c r="I48" i="113"/>
  <c r="I49" i="113"/>
  <c r="I50" i="113"/>
  <c r="I51" i="113"/>
  <c r="I52" i="113"/>
  <c r="I53" i="113"/>
  <c r="I54" i="113"/>
  <c r="I55" i="113"/>
  <c r="I56" i="113"/>
  <c r="I57" i="113"/>
  <c r="I58" i="113"/>
  <c r="I59" i="113"/>
  <c r="I60" i="113"/>
  <c r="I61" i="113"/>
  <c r="I62" i="113"/>
  <c r="I63" i="113"/>
  <c r="I64" i="113"/>
  <c r="I65" i="113"/>
  <c r="I66" i="113"/>
  <c r="I67" i="113"/>
  <c r="I68" i="113"/>
  <c r="I69" i="113"/>
  <c r="I70" i="113"/>
  <c r="I71" i="113"/>
  <c r="I72" i="113"/>
  <c r="I73" i="113"/>
  <c r="I2" i="112"/>
  <c r="I2" i="111"/>
  <c r="I73" i="112"/>
  <c r="I3" i="112"/>
  <c r="I4" i="112"/>
  <c r="I5" i="112"/>
  <c r="I6" i="112"/>
  <c r="I7" i="112"/>
  <c r="I8" i="112"/>
  <c r="I9" i="112"/>
  <c r="I10" i="112"/>
  <c r="I11" i="112"/>
  <c r="I12" i="112"/>
  <c r="I13" i="112"/>
  <c r="I14" i="112"/>
  <c r="I15" i="112"/>
  <c r="I16" i="112"/>
  <c r="I17" i="112"/>
  <c r="I18" i="112"/>
  <c r="I19" i="112"/>
  <c r="I20" i="112"/>
  <c r="I21" i="112"/>
  <c r="I22" i="112"/>
  <c r="I23" i="112"/>
  <c r="I24" i="112"/>
  <c r="I25" i="112"/>
  <c r="I26" i="112"/>
  <c r="I27" i="112"/>
  <c r="I28" i="112"/>
  <c r="I29" i="112"/>
  <c r="I30" i="112"/>
  <c r="I31" i="112"/>
  <c r="I32" i="112"/>
  <c r="I33" i="112"/>
  <c r="I34" i="112"/>
  <c r="I35" i="112"/>
  <c r="I36" i="112"/>
  <c r="I37" i="112"/>
  <c r="I38" i="112"/>
  <c r="I39" i="112"/>
  <c r="I40" i="112"/>
  <c r="I41" i="112"/>
  <c r="I42" i="112"/>
  <c r="I43" i="112"/>
  <c r="I44" i="112"/>
  <c r="I45" i="112"/>
  <c r="I46" i="112"/>
  <c r="I47" i="112"/>
  <c r="I48" i="112"/>
  <c r="I49" i="112"/>
  <c r="I50" i="112"/>
  <c r="I51" i="112"/>
  <c r="I52" i="112"/>
  <c r="I53" i="112"/>
  <c r="I54" i="112"/>
  <c r="I55" i="112"/>
  <c r="I56" i="112"/>
  <c r="I57" i="112"/>
  <c r="I58" i="112"/>
  <c r="I59" i="112"/>
  <c r="I60" i="112"/>
  <c r="I61" i="112"/>
  <c r="I62" i="112"/>
  <c r="I63" i="112"/>
  <c r="I64" i="112"/>
  <c r="I65" i="112"/>
  <c r="I66" i="112"/>
  <c r="I67" i="112"/>
  <c r="I68" i="112"/>
  <c r="I69" i="112"/>
  <c r="I70" i="112"/>
  <c r="I71" i="112"/>
  <c r="I72" i="112"/>
  <c r="I9" i="111"/>
  <c r="I3" i="111"/>
  <c r="I4" i="111"/>
  <c r="I5" i="111"/>
  <c r="I6" i="111"/>
  <c r="I7" i="111"/>
  <c r="I8" i="111"/>
  <c r="I10" i="111"/>
  <c r="I11" i="111"/>
  <c r="I12" i="111"/>
  <c r="I13" i="111"/>
  <c r="I14" i="111"/>
  <c r="I15" i="111"/>
  <c r="I16" i="111"/>
  <c r="I17" i="111"/>
  <c r="I18" i="111"/>
  <c r="I19" i="111"/>
  <c r="I20" i="111"/>
  <c r="I21" i="111"/>
  <c r="I22" i="111"/>
  <c r="I23" i="111"/>
  <c r="I24" i="111"/>
  <c r="I25" i="111"/>
  <c r="I26" i="111"/>
  <c r="I27" i="111"/>
  <c r="I28" i="111"/>
  <c r="I29" i="111"/>
  <c r="I30" i="111"/>
  <c r="I31" i="111"/>
  <c r="I32" i="111"/>
  <c r="I33" i="111"/>
  <c r="I34" i="111"/>
  <c r="I35" i="111"/>
  <c r="I36" i="111"/>
  <c r="I37" i="111"/>
  <c r="I38" i="111"/>
  <c r="I39" i="111"/>
  <c r="I40" i="111"/>
  <c r="I41" i="111"/>
  <c r="I42" i="111"/>
  <c r="I43" i="111"/>
  <c r="I44" i="111"/>
  <c r="I45" i="111"/>
  <c r="I46" i="111"/>
  <c r="I47" i="111"/>
  <c r="I48" i="111"/>
  <c r="I49" i="111"/>
  <c r="I50" i="111"/>
  <c r="I51" i="111"/>
  <c r="I52" i="111"/>
  <c r="I53" i="111"/>
  <c r="I54" i="111"/>
  <c r="I55" i="111"/>
  <c r="I56" i="111"/>
  <c r="I57" i="111"/>
  <c r="I58" i="111"/>
  <c r="I59" i="111"/>
  <c r="I60" i="111"/>
  <c r="I61" i="111"/>
  <c r="I62" i="111"/>
  <c r="I63" i="111"/>
  <c r="I64" i="111"/>
  <c r="I65" i="111"/>
  <c r="I66" i="111"/>
  <c r="I67" i="111"/>
  <c r="I68" i="111"/>
  <c r="I69" i="111"/>
  <c r="I70" i="111"/>
  <c r="I71" i="111"/>
  <c r="I72" i="111"/>
  <c r="I73" i="111"/>
  <c r="I3" i="110"/>
  <c r="I2" i="110"/>
  <c r="I4" i="110"/>
  <c r="I5" i="110"/>
  <c r="I6" i="110"/>
  <c r="I7" i="110"/>
  <c r="I8" i="110"/>
  <c r="I9" i="110"/>
  <c r="I10" i="110"/>
  <c r="I11" i="110"/>
  <c r="I12" i="110"/>
  <c r="I13" i="110"/>
  <c r="I14" i="110"/>
  <c r="I15" i="110"/>
  <c r="I16" i="110"/>
  <c r="I17" i="110"/>
  <c r="I18" i="110"/>
  <c r="I19" i="110"/>
  <c r="I20" i="110"/>
  <c r="I21" i="110"/>
  <c r="I22" i="110"/>
  <c r="I23" i="110"/>
  <c r="I24" i="110"/>
  <c r="I25" i="110"/>
  <c r="I26" i="110"/>
  <c r="I27" i="110"/>
  <c r="I28" i="110"/>
  <c r="I29" i="110"/>
  <c r="I30" i="110"/>
  <c r="I31" i="110"/>
  <c r="I32" i="110"/>
  <c r="I33" i="110"/>
  <c r="I34" i="110"/>
  <c r="I35" i="110"/>
  <c r="I36" i="110"/>
  <c r="I37" i="110"/>
  <c r="I38" i="110"/>
  <c r="I39" i="110"/>
  <c r="I40" i="110"/>
  <c r="I41" i="110"/>
  <c r="I42" i="110"/>
  <c r="I43" i="110"/>
  <c r="I44" i="110"/>
  <c r="I45" i="110"/>
  <c r="I46" i="110"/>
  <c r="I47" i="110"/>
  <c r="I48" i="110"/>
  <c r="I49" i="110"/>
  <c r="I50" i="110"/>
  <c r="I51" i="110"/>
  <c r="I52" i="110"/>
  <c r="I53" i="110"/>
  <c r="I54" i="110"/>
  <c r="I55" i="110"/>
  <c r="I56" i="110"/>
  <c r="I57" i="110"/>
  <c r="I58" i="110"/>
  <c r="I59" i="110"/>
  <c r="I60" i="110"/>
  <c r="I61" i="110"/>
  <c r="I62" i="110"/>
  <c r="I63" i="110"/>
  <c r="I64" i="110"/>
  <c r="I65" i="110"/>
  <c r="I66" i="110"/>
  <c r="I67" i="110"/>
  <c r="I68" i="110"/>
  <c r="I69" i="110"/>
  <c r="I70" i="110"/>
  <c r="I71" i="110"/>
  <c r="I72" i="110"/>
  <c r="I73" i="110"/>
  <c r="K2" i="114" l="1"/>
  <c r="B74" i="4" s="1"/>
  <c r="K2" i="113"/>
  <c r="B73" i="4" s="1"/>
  <c r="K2" i="112"/>
  <c r="B72" i="4" s="1"/>
  <c r="K2" i="111"/>
  <c r="B71" i="4" s="1"/>
  <c r="K2" i="110"/>
  <c r="B70" i="4" s="1"/>
  <c r="I8" i="109" l="1"/>
  <c r="I5" i="109"/>
  <c r="I4" i="109"/>
  <c r="I2" i="109"/>
  <c r="I3" i="109"/>
  <c r="I6" i="109"/>
  <c r="I7" i="109"/>
  <c r="I9" i="109"/>
  <c r="I10" i="109"/>
  <c r="I11" i="109"/>
  <c r="I12" i="109"/>
  <c r="I13" i="109"/>
  <c r="I14" i="109"/>
  <c r="I15" i="109"/>
  <c r="I16" i="109"/>
  <c r="I17" i="109"/>
  <c r="I18" i="109"/>
  <c r="I19" i="109"/>
  <c r="I20" i="109"/>
  <c r="I21" i="109"/>
  <c r="I22" i="109"/>
  <c r="I23" i="109"/>
  <c r="I24" i="109"/>
  <c r="I25" i="109"/>
  <c r="I26" i="109"/>
  <c r="I27" i="109"/>
  <c r="I28" i="109"/>
  <c r="I29" i="109"/>
  <c r="I30" i="109"/>
  <c r="I31" i="109"/>
  <c r="I32" i="109"/>
  <c r="I33" i="109"/>
  <c r="I34" i="109"/>
  <c r="I35" i="109"/>
  <c r="I36" i="109"/>
  <c r="I37" i="109"/>
  <c r="I38" i="109"/>
  <c r="I39" i="109"/>
  <c r="I40" i="109"/>
  <c r="I41" i="109"/>
  <c r="I42" i="109"/>
  <c r="I43" i="109"/>
  <c r="I44" i="109"/>
  <c r="I45" i="109"/>
  <c r="I46" i="109"/>
  <c r="I47" i="109"/>
  <c r="I48" i="109"/>
  <c r="I49" i="109"/>
  <c r="I50" i="109"/>
  <c r="I51" i="109"/>
  <c r="I52" i="109"/>
  <c r="I53" i="109"/>
  <c r="I54" i="109"/>
  <c r="I55" i="109"/>
  <c r="I56" i="109"/>
  <c r="I57" i="109"/>
  <c r="I58" i="109"/>
  <c r="I59" i="109"/>
  <c r="I60" i="109"/>
  <c r="I61" i="109"/>
  <c r="I62" i="109"/>
  <c r="I63" i="109"/>
  <c r="I64" i="109"/>
  <c r="I65" i="109"/>
  <c r="I66" i="109"/>
  <c r="I67" i="109"/>
  <c r="I68" i="109"/>
  <c r="I69" i="109"/>
  <c r="I70" i="109"/>
  <c r="I71" i="109"/>
  <c r="I72" i="109"/>
  <c r="I73" i="109"/>
  <c r="I2" i="108"/>
  <c r="I4" i="108"/>
  <c r="I3" i="108"/>
  <c r="I5" i="108"/>
  <c r="I6" i="108"/>
  <c r="I7" i="108"/>
  <c r="I8" i="108"/>
  <c r="I9" i="108"/>
  <c r="I10" i="108"/>
  <c r="I11" i="108"/>
  <c r="I12" i="108"/>
  <c r="I13" i="108"/>
  <c r="I14" i="108"/>
  <c r="I15" i="108"/>
  <c r="I16" i="108"/>
  <c r="I17" i="108"/>
  <c r="I18" i="108"/>
  <c r="I19" i="108"/>
  <c r="I20" i="108"/>
  <c r="I21" i="108"/>
  <c r="I22" i="108"/>
  <c r="I23" i="108"/>
  <c r="I24" i="108"/>
  <c r="I25" i="108"/>
  <c r="I26" i="108"/>
  <c r="I27" i="108"/>
  <c r="I28" i="108"/>
  <c r="I29" i="108"/>
  <c r="I30" i="108"/>
  <c r="I31" i="108"/>
  <c r="I32" i="108"/>
  <c r="I33" i="108"/>
  <c r="I34" i="108"/>
  <c r="I35" i="108"/>
  <c r="I36" i="108"/>
  <c r="I37" i="108"/>
  <c r="I38" i="108"/>
  <c r="I39" i="108"/>
  <c r="I40" i="108"/>
  <c r="I41" i="108"/>
  <c r="I42" i="108"/>
  <c r="I43" i="108"/>
  <c r="I44" i="108"/>
  <c r="I45" i="108"/>
  <c r="I46" i="108"/>
  <c r="I47" i="108"/>
  <c r="I48" i="108"/>
  <c r="I49" i="108"/>
  <c r="I50" i="108"/>
  <c r="I51" i="108"/>
  <c r="I52" i="108"/>
  <c r="I53" i="108"/>
  <c r="I54" i="108"/>
  <c r="I55" i="108"/>
  <c r="I56" i="108"/>
  <c r="I57" i="108"/>
  <c r="I58" i="108"/>
  <c r="I59" i="108"/>
  <c r="I60" i="108"/>
  <c r="I61" i="108"/>
  <c r="I62" i="108"/>
  <c r="I63" i="108"/>
  <c r="I64" i="108"/>
  <c r="I65" i="108"/>
  <c r="I66" i="108"/>
  <c r="I67" i="108"/>
  <c r="I68" i="108"/>
  <c r="I69" i="108"/>
  <c r="I70" i="108"/>
  <c r="I71" i="108"/>
  <c r="I72" i="108"/>
  <c r="I73" i="108"/>
  <c r="K2" i="109" l="1"/>
  <c r="B69" i="4" s="1"/>
  <c r="K2" i="108"/>
  <c r="B68" i="4" s="1"/>
  <c r="I3" i="107"/>
  <c r="I2" i="107"/>
  <c r="I4" i="107"/>
  <c r="I5" i="107"/>
  <c r="I6" i="107"/>
  <c r="I7" i="107"/>
  <c r="I8" i="107"/>
  <c r="I9" i="107"/>
  <c r="I10" i="107"/>
  <c r="I11" i="107"/>
  <c r="I12" i="107"/>
  <c r="I13" i="107"/>
  <c r="I14" i="107"/>
  <c r="I15" i="107"/>
  <c r="I16" i="107"/>
  <c r="I17" i="107"/>
  <c r="I18" i="107"/>
  <c r="I19" i="107"/>
  <c r="I20" i="107"/>
  <c r="I21" i="107"/>
  <c r="I22" i="107"/>
  <c r="I23" i="107"/>
  <c r="I24" i="107"/>
  <c r="I25" i="107"/>
  <c r="I26" i="107"/>
  <c r="I27" i="107"/>
  <c r="I28" i="107"/>
  <c r="I29" i="107"/>
  <c r="I30" i="107"/>
  <c r="I31" i="107"/>
  <c r="I32" i="107"/>
  <c r="I33" i="107"/>
  <c r="I34" i="107"/>
  <c r="I35" i="107"/>
  <c r="I36" i="107"/>
  <c r="I37" i="107"/>
  <c r="I38" i="107"/>
  <c r="I39" i="107"/>
  <c r="I40" i="107"/>
  <c r="I41" i="107"/>
  <c r="I42" i="107"/>
  <c r="I43" i="107"/>
  <c r="I44" i="107"/>
  <c r="I45" i="107"/>
  <c r="I46" i="107"/>
  <c r="I47" i="107"/>
  <c r="I48" i="107"/>
  <c r="I49" i="107"/>
  <c r="I50" i="107"/>
  <c r="I51" i="107"/>
  <c r="I52" i="107"/>
  <c r="I53" i="107"/>
  <c r="I54" i="107"/>
  <c r="I55" i="107"/>
  <c r="I56" i="107"/>
  <c r="I57" i="107"/>
  <c r="I58" i="107"/>
  <c r="I59" i="107"/>
  <c r="I60" i="107"/>
  <c r="I61" i="107"/>
  <c r="I62" i="107"/>
  <c r="I63" i="107"/>
  <c r="I64" i="107"/>
  <c r="I65" i="107"/>
  <c r="I66" i="107"/>
  <c r="I67" i="107"/>
  <c r="I68" i="107"/>
  <c r="I69" i="107"/>
  <c r="I70" i="107"/>
  <c r="I71" i="107"/>
  <c r="I72" i="107"/>
  <c r="I73" i="107"/>
  <c r="I9" i="106"/>
  <c r="I8" i="106"/>
  <c r="I2" i="106"/>
  <c r="I3" i="106"/>
  <c r="I4" i="106"/>
  <c r="I5" i="106"/>
  <c r="I6" i="106"/>
  <c r="I7" i="106"/>
  <c r="I10" i="106"/>
  <c r="I11" i="106"/>
  <c r="I12" i="106"/>
  <c r="I13" i="106"/>
  <c r="I14" i="106"/>
  <c r="I15" i="106"/>
  <c r="I16" i="106"/>
  <c r="I17" i="106"/>
  <c r="I18" i="106"/>
  <c r="I19" i="106"/>
  <c r="I20" i="106"/>
  <c r="I21" i="106"/>
  <c r="I22" i="106"/>
  <c r="I23" i="106"/>
  <c r="I24" i="106"/>
  <c r="I25" i="106"/>
  <c r="I26" i="106"/>
  <c r="I27" i="106"/>
  <c r="I28" i="106"/>
  <c r="I29" i="106"/>
  <c r="I30" i="106"/>
  <c r="I31" i="106"/>
  <c r="I32" i="106"/>
  <c r="I33" i="106"/>
  <c r="I34" i="106"/>
  <c r="I35" i="106"/>
  <c r="I36" i="106"/>
  <c r="I37" i="106"/>
  <c r="I38" i="106"/>
  <c r="I39" i="106"/>
  <c r="I40" i="106"/>
  <c r="I41" i="106"/>
  <c r="I42" i="106"/>
  <c r="I43" i="106"/>
  <c r="I44" i="106"/>
  <c r="I45" i="106"/>
  <c r="I46" i="106"/>
  <c r="I47" i="106"/>
  <c r="I48" i="106"/>
  <c r="I49" i="106"/>
  <c r="I50" i="106"/>
  <c r="I51" i="106"/>
  <c r="I52" i="106"/>
  <c r="I53" i="106"/>
  <c r="I54" i="106"/>
  <c r="I55" i="106"/>
  <c r="I56" i="106"/>
  <c r="I57" i="106"/>
  <c r="I58" i="106"/>
  <c r="I59" i="106"/>
  <c r="I60" i="106"/>
  <c r="I61" i="106"/>
  <c r="I62" i="106"/>
  <c r="I63" i="106"/>
  <c r="I64" i="106"/>
  <c r="I65" i="106"/>
  <c r="I66" i="106"/>
  <c r="I67" i="106"/>
  <c r="I68" i="106"/>
  <c r="I69" i="106"/>
  <c r="I70" i="106"/>
  <c r="I71" i="106"/>
  <c r="I72" i="106"/>
  <c r="I73" i="106"/>
  <c r="I5" i="104"/>
  <c r="I2" i="104"/>
  <c r="I3" i="104"/>
  <c r="I4" i="104"/>
  <c r="I6" i="104"/>
  <c r="I7" i="104"/>
  <c r="I8" i="104"/>
  <c r="I9" i="104"/>
  <c r="I10" i="104"/>
  <c r="I11" i="104"/>
  <c r="I12" i="104"/>
  <c r="I13" i="104"/>
  <c r="I14" i="104"/>
  <c r="I15" i="104"/>
  <c r="I16" i="104"/>
  <c r="I17" i="104"/>
  <c r="I18" i="104"/>
  <c r="I19" i="104"/>
  <c r="I20" i="104"/>
  <c r="I21" i="104"/>
  <c r="I22" i="104"/>
  <c r="I23" i="104"/>
  <c r="I24" i="104"/>
  <c r="I25" i="104"/>
  <c r="I26" i="104"/>
  <c r="I27" i="104"/>
  <c r="I28" i="104"/>
  <c r="I29" i="104"/>
  <c r="I30" i="104"/>
  <c r="I31" i="104"/>
  <c r="I32" i="104"/>
  <c r="I33" i="104"/>
  <c r="I34" i="104"/>
  <c r="I35" i="104"/>
  <c r="I36" i="104"/>
  <c r="I37" i="104"/>
  <c r="I38" i="104"/>
  <c r="I39" i="104"/>
  <c r="I40" i="104"/>
  <c r="I41" i="104"/>
  <c r="I42" i="104"/>
  <c r="I43" i="104"/>
  <c r="I44" i="104"/>
  <c r="I45" i="104"/>
  <c r="I46" i="104"/>
  <c r="I47" i="104"/>
  <c r="I48" i="104"/>
  <c r="I49" i="104"/>
  <c r="I50" i="104"/>
  <c r="I51" i="104"/>
  <c r="I52" i="104"/>
  <c r="I53" i="104"/>
  <c r="I54" i="104"/>
  <c r="I55" i="104"/>
  <c r="I56" i="104"/>
  <c r="I57" i="104"/>
  <c r="I58" i="104"/>
  <c r="I59" i="104"/>
  <c r="I60" i="104"/>
  <c r="I61" i="104"/>
  <c r="I62" i="104"/>
  <c r="I63" i="104"/>
  <c r="I64" i="104"/>
  <c r="I65" i="104"/>
  <c r="I66" i="104"/>
  <c r="I67" i="104"/>
  <c r="I68" i="104"/>
  <c r="I69" i="104"/>
  <c r="I70" i="104"/>
  <c r="I71" i="104"/>
  <c r="I72" i="104"/>
  <c r="I73" i="104"/>
  <c r="I3" i="103"/>
  <c r="I2" i="103"/>
  <c r="I4" i="103"/>
  <c r="I5" i="103"/>
  <c r="I6" i="103"/>
  <c r="I7" i="103"/>
  <c r="I8" i="103"/>
  <c r="I9" i="103"/>
  <c r="I10" i="103"/>
  <c r="I11" i="103"/>
  <c r="I12" i="103"/>
  <c r="I13" i="103"/>
  <c r="I14" i="103"/>
  <c r="I15" i="103"/>
  <c r="I16" i="103"/>
  <c r="I17" i="103"/>
  <c r="I18" i="103"/>
  <c r="I19" i="103"/>
  <c r="I20" i="103"/>
  <c r="I21" i="103"/>
  <c r="I22" i="103"/>
  <c r="I23" i="103"/>
  <c r="I24" i="103"/>
  <c r="I25" i="103"/>
  <c r="I26" i="103"/>
  <c r="I27" i="103"/>
  <c r="I28" i="103"/>
  <c r="I29" i="103"/>
  <c r="I30" i="103"/>
  <c r="I31" i="103"/>
  <c r="I32" i="103"/>
  <c r="I33" i="103"/>
  <c r="I34" i="103"/>
  <c r="I35" i="103"/>
  <c r="I36" i="103"/>
  <c r="I37" i="103"/>
  <c r="I38" i="103"/>
  <c r="I39" i="103"/>
  <c r="I40" i="103"/>
  <c r="I41" i="103"/>
  <c r="I42" i="103"/>
  <c r="I43" i="103"/>
  <c r="I44" i="103"/>
  <c r="I45" i="103"/>
  <c r="I46" i="103"/>
  <c r="I47" i="103"/>
  <c r="I48" i="103"/>
  <c r="I49" i="103"/>
  <c r="I50" i="103"/>
  <c r="I51" i="103"/>
  <c r="I52" i="103"/>
  <c r="I53" i="103"/>
  <c r="I54" i="103"/>
  <c r="I55" i="103"/>
  <c r="I56" i="103"/>
  <c r="I57" i="103"/>
  <c r="I58" i="103"/>
  <c r="I59" i="103"/>
  <c r="I60" i="103"/>
  <c r="I61" i="103"/>
  <c r="I62" i="103"/>
  <c r="I63" i="103"/>
  <c r="I64" i="103"/>
  <c r="I65" i="103"/>
  <c r="I66" i="103"/>
  <c r="I67" i="103"/>
  <c r="I68" i="103"/>
  <c r="I69" i="103"/>
  <c r="I70" i="103"/>
  <c r="I71" i="103"/>
  <c r="I72" i="103"/>
  <c r="I73" i="103"/>
  <c r="I2" i="102"/>
  <c r="I3" i="102"/>
  <c r="I4" i="102"/>
  <c r="I5" i="102"/>
  <c r="I6" i="102"/>
  <c r="I7" i="102"/>
  <c r="I8" i="102"/>
  <c r="I9" i="102"/>
  <c r="I10" i="102"/>
  <c r="I11" i="102"/>
  <c r="I12" i="102"/>
  <c r="I13" i="102"/>
  <c r="I14" i="102"/>
  <c r="I15" i="102"/>
  <c r="I16" i="102"/>
  <c r="I17" i="102"/>
  <c r="I18" i="102"/>
  <c r="I19" i="102"/>
  <c r="I20" i="102"/>
  <c r="I21" i="102"/>
  <c r="I22" i="102"/>
  <c r="I23" i="102"/>
  <c r="I24" i="102"/>
  <c r="I25" i="102"/>
  <c r="I26" i="102"/>
  <c r="I27" i="102"/>
  <c r="I28" i="102"/>
  <c r="I29" i="102"/>
  <c r="I30" i="102"/>
  <c r="I31" i="102"/>
  <c r="I32" i="102"/>
  <c r="I33" i="102"/>
  <c r="I34" i="102"/>
  <c r="I35" i="102"/>
  <c r="I36" i="102"/>
  <c r="I37" i="102"/>
  <c r="I38" i="102"/>
  <c r="I39" i="102"/>
  <c r="I40" i="102"/>
  <c r="I41" i="102"/>
  <c r="I42" i="102"/>
  <c r="I43" i="102"/>
  <c r="I44" i="102"/>
  <c r="I45" i="102"/>
  <c r="I46" i="102"/>
  <c r="I47" i="102"/>
  <c r="I48" i="102"/>
  <c r="I49" i="102"/>
  <c r="I50" i="102"/>
  <c r="I51" i="102"/>
  <c r="I52" i="102"/>
  <c r="I53" i="102"/>
  <c r="I54" i="102"/>
  <c r="I55" i="102"/>
  <c r="I56" i="102"/>
  <c r="I57" i="102"/>
  <c r="I58" i="102"/>
  <c r="I59" i="102"/>
  <c r="I60" i="102"/>
  <c r="I61" i="102"/>
  <c r="I62" i="102"/>
  <c r="I63" i="102"/>
  <c r="I64" i="102"/>
  <c r="I65" i="102"/>
  <c r="I66" i="102"/>
  <c r="I67" i="102"/>
  <c r="I68" i="102"/>
  <c r="I69" i="102"/>
  <c r="I70" i="102"/>
  <c r="I71" i="102"/>
  <c r="I72" i="102"/>
  <c r="I73" i="102"/>
  <c r="I73" i="101"/>
  <c r="I2" i="101"/>
  <c r="I3" i="101"/>
  <c r="I4" i="101"/>
  <c r="I5" i="101"/>
  <c r="I6" i="101"/>
  <c r="I7" i="101"/>
  <c r="I8" i="101"/>
  <c r="I9" i="101"/>
  <c r="I10" i="101"/>
  <c r="I11" i="101"/>
  <c r="I12" i="101"/>
  <c r="I13" i="101"/>
  <c r="I14" i="101"/>
  <c r="I15" i="101"/>
  <c r="I16" i="101"/>
  <c r="I17" i="101"/>
  <c r="I18" i="101"/>
  <c r="I19" i="101"/>
  <c r="I20" i="101"/>
  <c r="I21" i="101"/>
  <c r="I22" i="101"/>
  <c r="I23" i="101"/>
  <c r="I24" i="101"/>
  <c r="I25" i="101"/>
  <c r="I26" i="101"/>
  <c r="I27" i="101"/>
  <c r="I28" i="101"/>
  <c r="I29" i="101"/>
  <c r="I30" i="101"/>
  <c r="I31" i="101"/>
  <c r="I32" i="101"/>
  <c r="I33" i="101"/>
  <c r="I34" i="101"/>
  <c r="I35" i="101"/>
  <c r="I36" i="101"/>
  <c r="I37" i="101"/>
  <c r="I38" i="101"/>
  <c r="I39" i="101"/>
  <c r="I40" i="101"/>
  <c r="I41" i="101"/>
  <c r="I42" i="101"/>
  <c r="I43" i="101"/>
  <c r="I44" i="101"/>
  <c r="I45" i="101"/>
  <c r="I46" i="101"/>
  <c r="I47" i="101"/>
  <c r="I48" i="101"/>
  <c r="I49" i="101"/>
  <c r="I50" i="101"/>
  <c r="I51" i="101"/>
  <c r="I52" i="101"/>
  <c r="I53" i="101"/>
  <c r="I54" i="101"/>
  <c r="I55" i="101"/>
  <c r="I56" i="101"/>
  <c r="I57" i="101"/>
  <c r="I58" i="101"/>
  <c r="I59" i="101"/>
  <c r="I60" i="101"/>
  <c r="I61" i="101"/>
  <c r="I62" i="101"/>
  <c r="I63" i="101"/>
  <c r="I64" i="101"/>
  <c r="I65" i="101"/>
  <c r="I66" i="101"/>
  <c r="I67" i="101"/>
  <c r="I68" i="101"/>
  <c r="I69" i="101"/>
  <c r="I70" i="101"/>
  <c r="I71" i="101"/>
  <c r="I72" i="101"/>
  <c r="I2" i="100"/>
  <c r="I4" i="100"/>
  <c r="I73" i="100"/>
  <c r="I3" i="100"/>
  <c r="I5" i="100"/>
  <c r="I6" i="100"/>
  <c r="I7" i="100"/>
  <c r="I8" i="100"/>
  <c r="I9" i="100"/>
  <c r="I10" i="100"/>
  <c r="I11" i="100"/>
  <c r="I12" i="100"/>
  <c r="I13" i="100"/>
  <c r="I14" i="100"/>
  <c r="I15" i="100"/>
  <c r="I16" i="100"/>
  <c r="I17" i="100"/>
  <c r="I18" i="100"/>
  <c r="I19" i="100"/>
  <c r="I20" i="100"/>
  <c r="I21" i="100"/>
  <c r="I22" i="100"/>
  <c r="I23" i="100"/>
  <c r="I24" i="100"/>
  <c r="I25" i="100"/>
  <c r="I26" i="100"/>
  <c r="I27" i="100"/>
  <c r="I28" i="100"/>
  <c r="I29" i="100"/>
  <c r="I30" i="100"/>
  <c r="I31" i="100"/>
  <c r="I32" i="100"/>
  <c r="I33" i="100"/>
  <c r="I34" i="100"/>
  <c r="I35" i="100"/>
  <c r="I36" i="100"/>
  <c r="I37" i="100"/>
  <c r="I38" i="100"/>
  <c r="I39" i="100"/>
  <c r="I40" i="100"/>
  <c r="I41" i="100"/>
  <c r="I42" i="100"/>
  <c r="I43" i="100"/>
  <c r="I44" i="100"/>
  <c r="I45" i="100"/>
  <c r="I46" i="100"/>
  <c r="I47" i="100"/>
  <c r="I48" i="100"/>
  <c r="I49" i="100"/>
  <c r="I50" i="100"/>
  <c r="I51" i="100"/>
  <c r="I52" i="100"/>
  <c r="I53" i="100"/>
  <c r="I54" i="100"/>
  <c r="I55" i="100"/>
  <c r="I56" i="100"/>
  <c r="I57" i="100"/>
  <c r="I58" i="100"/>
  <c r="I59" i="100"/>
  <c r="I60" i="100"/>
  <c r="I61" i="100"/>
  <c r="I62" i="100"/>
  <c r="I63" i="100"/>
  <c r="I64" i="100"/>
  <c r="I65" i="100"/>
  <c r="I66" i="100"/>
  <c r="I67" i="100"/>
  <c r="I68" i="100"/>
  <c r="I69" i="100"/>
  <c r="I70" i="100"/>
  <c r="I71" i="100"/>
  <c r="I72" i="100"/>
  <c r="I8" i="99"/>
  <c r="I2" i="99"/>
  <c r="I3" i="99"/>
  <c r="I4" i="99"/>
  <c r="I5" i="99"/>
  <c r="I6" i="99"/>
  <c r="I7" i="99"/>
  <c r="I9" i="99"/>
  <c r="I10" i="99"/>
  <c r="I11" i="99"/>
  <c r="I12" i="99"/>
  <c r="I13" i="99"/>
  <c r="I14" i="99"/>
  <c r="I15" i="99"/>
  <c r="I16" i="99"/>
  <c r="I17" i="99"/>
  <c r="I18" i="99"/>
  <c r="I19" i="99"/>
  <c r="I20" i="99"/>
  <c r="I21" i="99"/>
  <c r="I22" i="99"/>
  <c r="I23" i="99"/>
  <c r="I24" i="99"/>
  <c r="I25" i="99"/>
  <c r="I26" i="99"/>
  <c r="I27" i="99"/>
  <c r="I28" i="99"/>
  <c r="I29" i="99"/>
  <c r="I30" i="99"/>
  <c r="I31" i="99"/>
  <c r="I32" i="99"/>
  <c r="I33" i="99"/>
  <c r="I34" i="99"/>
  <c r="I35" i="99"/>
  <c r="I36" i="99"/>
  <c r="I37" i="99"/>
  <c r="I38" i="99"/>
  <c r="I39" i="99"/>
  <c r="I40" i="99"/>
  <c r="I41" i="99"/>
  <c r="I42" i="99"/>
  <c r="I43" i="99"/>
  <c r="I44" i="99"/>
  <c r="I45" i="99"/>
  <c r="I46" i="99"/>
  <c r="I47" i="99"/>
  <c r="I48" i="99"/>
  <c r="I49" i="99"/>
  <c r="I50" i="99"/>
  <c r="I51" i="99"/>
  <c r="I52" i="99"/>
  <c r="I53" i="99"/>
  <c r="I54" i="99"/>
  <c r="I55" i="99"/>
  <c r="I56" i="99"/>
  <c r="I57" i="99"/>
  <c r="I58" i="99"/>
  <c r="I59" i="99"/>
  <c r="I60" i="99"/>
  <c r="I61" i="99"/>
  <c r="I62" i="99"/>
  <c r="I63" i="99"/>
  <c r="I64" i="99"/>
  <c r="I65" i="99"/>
  <c r="I66" i="99"/>
  <c r="I67" i="99"/>
  <c r="I68" i="99"/>
  <c r="I69" i="99"/>
  <c r="I70" i="99"/>
  <c r="I71" i="99"/>
  <c r="I72" i="99"/>
  <c r="I73" i="99"/>
  <c r="I4" i="98"/>
  <c r="I6" i="98"/>
  <c r="I7" i="98"/>
  <c r="I2" i="98"/>
  <c r="I3" i="98"/>
  <c r="I5" i="98"/>
  <c r="I8" i="98"/>
  <c r="I9" i="98"/>
  <c r="I10" i="98"/>
  <c r="I11" i="98"/>
  <c r="I12" i="98"/>
  <c r="I13" i="98"/>
  <c r="I14" i="98"/>
  <c r="I15" i="98"/>
  <c r="I16" i="98"/>
  <c r="I17" i="98"/>
  <c r="I18" i="98"/>
  <c r="I19" i="98"/>
  <c r="I20" i="98"/>
  <c r="I21" i="98"/>
  <c r="I22" i="98"/>
  <c r="I23" i="98"/>
  <c r="I24" i="98"/>
  <c r="I25" i="98"/>
  <c r="I26" i="98"/>
  <c r="I27" i="98"/>
  <c r="I28" i="98"/>
  <c r="I29" i="98"/>
  <c r="I30" i="98"/>
  <c r="I31" i="98"/>
  <c r="I32" i="98"/>
  <c r="I33" i="98"/>
  <c r="I34" i="98"/>
  <c r="I35" i="98"/>
  <c r="I36" i="98"/>
  <c r="I37" i="98"/>
  <c r="I38" i="98"/>
  <c r="I39" i="98"/>
  <c r="I40" i="98"/>
  <c r="I41" i="98"/>
  <c r="I42" i="98"/>
  <c r="I43" i="98"/>
  <c r="I44" i="98"/>
  <c r="I45" i="98"/>
  <c r="I46" i="98"/>
  <c r="I47" i="98"/>
  <c r="I48" i="98"/>
  <c r="I49" i="98"/>
  <c r="I50" i="98"/>
  <c r="I51" i="98"/>
  <c r="I52" i="98"/>
  <c r="I53" i="98"/>
  <c r="I54" i="98"/>
  <c r="I55" i="98"/>
  <c r="I56" i="98"/>
  <c r="I57" i="98"/>
  <c r="I58" i="98"/>
  <c r="I59" i="98"/>
  <c r="I60" i="98"/>
  <c r="I61" i="98"/>
  <c r="I62" i="98"/>
  <c r="I63" i="98"/>
  <c r="I64" i="98"/>
  <c r="I65" i="98"/>
  <c r="I66" i="98"/>
  <c r="I67" i="98"/>
  <c r="I68" i="98"/>
  <c r="I69" i="98"/>
  <c r="I70" i="98"/>
  <c r="I71" i="98"/>
  <c r="I72" i="98"/>
  <c r="I73" i="98"/>
  <c r="I3" i="97"/>
  <c r="I2" i="97"/>
  <c r="I4" i="97"/>
  <c r="I5" i="97"/>
  <c r="I6" i="97"/>
  <c r="I7" i="97"/>
  <c r="I8" i="97"/>
  <c r="I9" i="97"/>
  <c r="I10" i="97"/>
  <c r="I11" i="97"/>
  <c r="I12" i="97"/>
  <c r="I13" i="97"/>
  <c r="I14" i="97"/>
  <c r="I15" i="97"/>
  <c r="I16" i="97"/>
  <c r="I17" i="97"/>
  <c r="I18" i="97"/>
  <c r="I19" i="97"/>
  <c r="I20" i="97"/>
  <c r="I21" i="97"/>
  <c r="I22" i="97"/>
  <c r="I23" i="97"/>
  <c r="I24" i="97"/>
  <c r="I25" i="97"/>
  <c r="I26" i="97"/>
  <c r="I27" i="97"/>
  <c r="I28" i="97"/>
  <c r="I29" i="97"/>
  <c r="I30" i="97"/>
  <c r="I31" i="97"/>
  <c r="I32" i="97"/>
  <c r="I33" i="97"/>
  <c r="I34" i="97"/>
  <c r="I35" i="97"/>
  <c r="I36" i="97"/>
  <c r="I37" i="97"/>
  <c r="I38" i="97"/>
  <c r="I39" i="97"/>
  <c r="I40" i="97"/>
  <c r="I41" i="97"/>
  <c r="I42" i="97"/>
  <c r="I43" i="97"/>
  <c r="I44" i="97"/>
  <c r="I45" i="97"/>
  <c r="I46" i="97"/>
  <c r="I47" i="97"/>
  <c r="I48" i="97"/>
  <c r="I49" i="97"/>
  <c r="I50" i="97"/>
  <c r="I51" i="97"/>
  <c r="I52" i="97"/>
  <c r="I53" i="97"/>
  <c r="I54" i="97"/>
  <c r="I55" i="97"/>
  <c r="I56" i="97"/>
  <c r="I57" i="97"/>
  <c r="I58" i="97"/>
  <c r="I59" i="97"/>
  <c r="I60" i="97"/>
  <c r="I61" i="97"/>
  <c r="I62" i="97"/>
  <c r="I63" i="97"/>
  <c r="I64" i="97"/>
  <c r="I65" i="97"/>
  <c r="I66" i="97"/>
  <c r="I67" i="97"/>
  <c r="I68" i="97"/>
  <c r="I69" i="97"/>
  <c r="I70" i="97"/>
  <c r="I71" i="97"/>
  <c r="I72" i="97"/>
  <c r="I73" i="97"/>
  <c r="I12" i="96"/>
  <c r="I7" i="96"/>
  <c r="I8" i="96"/>
  <c r="I2" i="96"/>
  <c r="I3" i="96"/>
  <c r="I4" i="96"/>
  <c r="I5" i="96"/>
  <c r="I6" i="96"/>
  <c r="I9" i="96"/>
  <c r="I10" i="96"/>
  <c r="I11" i="96"/>
  <c r="I13" i="96"/>
  <c r="I14" i="96"/>
  <c r="I15" i="96"/>
  <c r="I16" i="96"/>
  <c r="I17" i="96"/>
  <c r="I18" i="96"/>
  <c r="I19" i="96"/>
  <c r="I20" i="96"/>
  <c r="I21" i="96"/>
  <c r="I22" i="96"/>
  <c r="I23" i="96"/>
  <c r="I24" i="96"/>
  <c r="I25" i="96"/>
  <c r="I26" i="96"/>
  <c r="I27" i="96"/>
  <c r="I28" i="96"/>
  <c r="I29" i="96"/>
  <c r="I30" i="96"/>
  <c r="I31" i="96"/>
  <c r="I32" i="96"/>
  <c r="I33" i="96"/>
  <c r="I34" i="96"/>
  <c r="I35" i="96"/>
  <c r="I36" i="96"/>
  <c r="I37" i="96"/>
  <c r="I38" i="96"/>
  <c r="I39" i="96"/>
  <c r="I40" i="96"/>
  <c r="I41" i="96"/>
  <c r="I42" i="96"/>
  <c r="I43" i="96"/>
  <c r="I44" i="96"/>
  <c r="I45" i="96"/>
  <c r="I46" i="96"/>
  <c r="I47" i="96"/>
  <c r="I48" i="96"/>
  <c r="I49" i="96"/>
  <c r="I50" i="96"/>
  <c r="I51" i="96"/>
  <c r="I52" i="96"/>
  <c r="I53" i="96"/>
  <c r="I54" i="96"/>
  <c r="I55" i="96"/>
  <c r="I56" i="96"/>
  <c r="I57" i="96"/>
  <c r="I58" i="96"/>
  <c r="I59" i="96"/>
  <c r="I60" i="96"/>
  <c r="I61" i="96"/>
  <c r="I62" i="96"/>
  <c r="I63" i="96"/>
  <c r="I64" i="96"/>
  <c r="I65" i="96"/>
  <c r="I66" i="96"/>
  <c r="I67" i="96"/>
  <c r="I68" i="96"/>
  <c r="I69" i="96"/>
  <c r="I70" i="96"/>
  <c r="I71" i="96"/>
  <c r="I72" i="96"/>
  <c r="I73" i="96"/>
  <c r="I2" i="95"/>
  <c r="I3" i="95"/>
  <c r="I4" i="95"/>
  <c r="I5" i="95"/>
  <c r="I6" i="95"/>
  <c r="I7" i="95"/>
  <c r="I8" i="95"/>
  <c r="I9" i="95"/>
  <c r="I10" i="95"/>
  <c r="I11" i="95"/>
  <c r="I12" i="95"/>
  <c r="I13" i="95"/>
  <c r="I14" i="95"/>
  <c r="I15" i="95"/>
  <c r="I16" i="95"/>
  <c r="I17" i="95"/>
  <c r="I18" i="95"/>
  <c r="I19" i="95"/>
  <c r="I20" i="95"/>
  <c r="I21" i="95"/>
  <c r="I22" i="95"/>
  <c r="I23" i="95"/>
  <c r="I24" i="95"/>
  <c r="I25" i="95"/>
  <c r="I26" i="95"/>
  <c r="I27" i="95"/>
  <c r="I28" i="95"/>
  <c r="I29" i="95"/>
  <c r="I30" i="95"/>
  <c r="I31" i="95"/>
  <c r="I32" i="95"/>
  <c r="I33" i="95"/>
  <c r="I34" i="95"/>
  <c r="I35" i="95"/>
  <c r="I36" i="95"/>
  <c r="I37" i="95"/>
  <c r="I38" i="95"/>
  <c r="I39" i="95"/>
  <c r="I40" i="95"/>
  <c r="I41" i="95"/>
  <c r="I42" i="95"/>
  <c r="I43" i="95"/>
  <c r="I44" i="95"/>
  <c r="I45" i="95"/>
  <c r="I46" i="95"/>
  <c r="I47" i="95"/>
  <c r="I48" i="95"/>
  <c r="I49" i="95"/>
  <c r="I50" i="95"/>
  <c r="I51" i="95"/>
  <c r="I52" i="95"/>
  <c r="I53" i="95"/>
  <c r="I54" i="95"/>
  <c r="I55" i="95"/>
  <c r="I56" i="95"/>
  <c r="I57" i="95"/>
  <c r="I58" i="95"/>
  <c r="I59" i="95"/>
  <c r="I60" i="95"/>
  <c r="I61" i="95"/>
  <c r="I62" i="95"/>
  <c r="I63" i="95"/>
  <c r="I64" i="95"/>
  <c r="I65" i="95"/>
  <c r="I66" i="95"/>
  <c r="I67" i="95"/>
  <c r="I68" i="95"/>
  <c r="I69" i="95"/>
  <c r="I70" i="95"/>
  <c r="I71" i="95"/>
  <c r="I72" i="95"/>
  <c r="I73" i="95"/>
  <c r="I6" i="55"/>
  <c r="I3" i="94"/>
  <c r="I2" i="94"/>
  <c r="I4" i="94"/>
  <c r="I5" i="94"/>
  <c r="I6" i="94"/>
  <c r="I7" i="94"/>
  <c r="I8" i="94"/>
  <c r="I9" i="94"/>
  <c r="I10" i="94"/>
  <c r="I11" i="94"/>
  <c r="I12" i="94"/>
  <c r="I13" i="94"/>
  <c r="I14" i="94"/>
  <c r="I15" i="94"/>
  <c r="I16" i="94"/>
  <c r="I17" i="94"/>
  <c r="I18" i="94"/>
  <c r="I19" i="94"/>
  <c r="I20" i="94"/>
  <c r="I21" i="94"/>
  <c r="I22" i="94"/>
  <c r="I23" i="94"/>
  <c r="I24" i="94"/>
  <c r="I25" i="94"/>
  <c r="I26" i="94"/>
  <c r="I27" i="94"/>
  <c r="I28" i="94"/>
  <c r="I29" i="94"/>
  <c r="I30" i="94"/>
  <c r="I31" i="94"/>
  <c r="I32" i="94"/>
  <c r="I33" i="94"/>
  <c r="I34" i="94"/>
  <c r="I35" i="94"/>
  <c r="I36" i="94"/>
  <c r="I37" i="94"/>
  <c r="I38" i="94"/>
  <c r="I39" i="94"/>
  <c r="I40" i="94"/>
  <c r="I41" i="94"/>
  <c r="I42" i="94"/>
  <c r="I43" i="94"/>
  <c r="I44" i="94"/>
  <c r="I45" i="94"/>
  <c r="I46" i="94"/>
  <c r="I47" i="94"/>
  <c r="I48" i="94"/>
  <c r="I49" i="94"/>
  <c r="I50" i="94"/>
  <c r="I51" i="94"/>
  <c r="I52" i="94"/>
  <c r="I53" i="94"/>
  <c r="I54" i="94"/>
  <c r="I55" i="94"/>
  <c r="I56" i="94"/>
  <c r="I57" i="94"/>
  <c r="I58" i="94"/>
  <c r="I59" i="94"/>
  <c r="I60" i="94"/>
  <c r="I61" i="94"/>
  <c r="I62" i="94"/>
  <c r="I63" i="94"/>
  <c r="I64" i="94"/>
  <c r="I65" i="94"/>
  <c r="I66" i="94"/>
  <c r="I67" i="94"/>
  <c r="I68" i="94"/>
  <c r="I69" i="94"/>
  <c r="I70" i="94"/>
  <c r="I71" i="94"/>
  <c r="I72" i="94"/>
  <c r="I73" i="94"/>
  <c r="I2" i="93"/>
  <c r="I3" i="93"/>
  <c r="I4" i="93"/>
  <c r="I5" i="93"/>
  <c r="I6" i="93"/>
  <c r="I7" i="93"/>
  <c r="I8" i="93"/>
  <c r="I9" i="93"/>
  <c r="I10" i="93"/>
  <c r="I11" i="93"/>
  <c r="I12" i="93"/>
  <c r="I13" i="93"/>
  <c r="I14" i="93"/>
  <c r="I15" i="93"/>
  <c r="I16" i="93"/>
  <c r="I17" i="93"/>
  <c r="I18" i="93"/>
  <c r="I19" i="93"/>
  <c r="I20" i="93"/>
  <c r="I21" i="93"/>
  <c r="I22" i="93"/>
  <c r="I23" i="93"/>
  <c r="I24" i="93"/>
  <c r="I25" i="93"/>
  <c r="I26" i="93"/>
  <c r="I27" i="93"/>
  <c r="I28" i="93"/>
  <c r="I29" i="93"/>
  <c r="I30" i="93"/>
  <c r="I31" i="93"/>
  <c r="I32" i="93"/>
  <c r="I33" i="93"/>
  <c r="I34" i="93"/>
  <c r="I35" i="93"/>
  <c r="I36" i="93"/>
  <c r="I37" i="93"/>
  <c r="I38" i="93"/>
  <c r="I39" i="93"/>
  <c r="I40" i="93"/>
  <c r="I41" i="93"/>
  <c r="I42" i="93"/>
  <c r="I43" i="93"/>
  <c r="I44" i="93"/>
  <c r="I45" i="93"/>
  <c r="I46" i="93"/>
  <c r="I47" i="93"/>
  <c r="I48" i="93"/>
  <c r="I49" i="93"/>
  <c r="I50" i="93"/>
  <c r="I51" i="93"/>
  <c r="I52" i="93"/>
  <c r="I53" i="93"/>
  <c r="I54" i="93"/>
  <c r="I55" i="93"/>
  <c r="I56" i="93"/>
  <c r="I57" i="93"/>
  <c r="I58" i="93"/>
  <c r="I59" i="93"/>
  <c r="I60" i="93"/>
  <c r="I61" i="93"/>
  <c r="I62" i="93"/>
  <c r="I63" i="93"/>
  <c r="I64" i="93"/>
  <c r="I65" i="93"/>
  <c r="I66" i="93"/>
  <c r="I67" i="93"/>
  <c r="I68" i="93"/>
  <c r="I69" i="93"/>
  <c r="I70" i="93"/>
  <c r="I71" i="93"/>
  <c r="I72" i="93"/>
  <c r="I73" i="93"/>
  <c r="I2" i="92"/>
  <c r="I3" i="92"/>
  <c r="I4" i="92"/>
  <c r="I5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3" i="91"/>
  <c r="I2" i="91"/>
  <c r="I6" i="91"/>
  <c r="I3" i="91"/>
  <c r="I4" i="91"/>
  <c r="I5" i="91"/>
  <c r="I7" i="91"/>
  <c r="I8" i="91"/>
  <c r="I9" i="91"/>
  <c r="I10" i="91"/>
  <c r="I11" i="91"/>
  <c r="I12" i="91"/>
  <c r="I13" i="91"/>
  <c r="I14" i="91"/>
  <c r="I15" i="91"/>
  <c r="I16" i="91"/>
  <c r="I17" i="91"/>
  <c r="I18" i="91"/>
  <c r="I19" i="91"/>
  <c r="I20" i="91"/>
  <c r="I21" i="91"/>
  <c r="I22" i="91"/>
  <c r="I23" i="91"/>
  <c r="I24" i="91"/>
  <c r="I25" i="91"/>
  <c r="I26" i="91"/>
  <c r="I27" i="91"/>
  <c r="I28" i="91"/>
  <c r="I29" i="91"/>
  <c r="I30" i="91"/>
  <c r="I31" i="91"/>
  <c r="I32" i="91"/>
  <c r="I33" i="91"/>
  <c r="I34" i="91"/>
  <c r="I35" i="91"/>
  <c r="I36" i="91"/>
  <c r="I37" i="91"/>
  <c r="I38" i="91"/>
  <c r="I39" i="91"/>
  <c r="I40" i="91"/>
  <c r="I41" i="91"/>
  <c r="I42" i="91"/>
  <c r="I43" i="91"/>
  <c r="I44" i="91"/>
  <c r="I45" i="91"/>
  <c r="I46" i="91"/>
  <c r="I47" i="91"/>
  <c r="I48" i="91"/>
  <c r="I49" i="91"/>
  <c r="I50" i="91"/>
  <c r="I51" i="91"/>
  <c r="I52" i="91"/>
  <c r="I53" i="91"/>
  <c r="I54" i="91"/>
  <c r="I55" i="91"/>
  <c r="I56" i="91"/>
  <c r="I57" i="91"/>
  <c r="I58" i="91"/>
  <c r="I59" i="91"/>
  <c r="I60" i="91"/>
  <c r="I61" i="91"/>
  <c r="I62" i="91"/>
  <c r="I63" i="91"/>
  <c r="I64" i="91"/>
  <c r="I65" i="91"/>
  <c r="I66" i="91"/>
  <c r="I67" i="91"/>
  <c r="I68" i="91"/>
  <c r="I69" i="91"/>
  <c r="I70" i="91"/>
  <c r="I71" i="91"/>
  <c r="I72" i="91"/>
  <c r="I2" i="90"/>
  <c r="I3" i="90"/>
  <c r="I4" i="90"/>
  <c r="I5" i="90"/>
  <c r="I6" i="90"/>
  <c r="I7" i="90"/>
  <c r="I8" i="90"/>
  <c r="I9" i="90"/>
  <c r="I10" i="90"/>
  <c r="I11" i="90"/>
  <c r="I12" i="90"/>
  <c r="I13" i="90"/>
  <c r="I14" i="90"/>
  <c r="I15" i="90"/>
  <c r="I16" i="90"/>
  <c r="I17" i="90"/>
  <c r="I18" i="90"/>
  <c r="I19" i="90"/>
  <c r="I20" i="90"/>
  <c r="I21" i="90"/>
  <c r="I22" i="90"/>
  <c r="I23" i="90"/>
  <c r="I24" i="90"/>
  <c r="I25" i="90"/>
  <c r="I26" i="90"/>
  <c r="I27" i="90"/>
  <c r="I28" i="90"/>
  <c r="I29" i="90"/>
  <c r="I30" i="90"/>
  <c r="I31" i="90"/>
  <c r="I32" i="90"/>
  <c r="I33" i="90"/>
  <c r="I34" i="90"/>
  <c r="I35" i="90"/>
  <c r="I36" i="90"/>
  <c r="I37" i="90"/>
  <c r="I38" i="90"/>
  <c r="I39" i="90"/>
  <c r="I40" i="90"/>
  <c r="I41" i="90"/>
  <c r="I42" i="90"/>
  <c r="I43" i="90"/>
  <c r="I44" i="90"/>
  <c r="I45" i="90"/>
  <c r="I46" i="90"/>
  <c r="I47" i="90"/>
  <c r="I48" i="90"/>
  <c r="I49" i="90"/>
  <c r="I50" i="90"/>
  <c r="I51" i="90"/>
  <c r="I52" i="90"/>
  <c r="I53" i="90"/>
  <c r="I54" i="90"/>
  <c r="I55" i="90"/>
  <c r="I56" i="90"/>
  <c r="I57" i="90"/>
  <c r="I58" i="90"/>
  <c r="I59" i="90"/>
  <c r="I60" i="90"/>
  <c r="I61" i="90"/>
  <c r="I62" i="90"/>
  <c r="I63" i="90"/>
  <c r="I64" i="90"/>
  <c r="I65" i="90"/>
  <c r="I66" i="90"/>
  <c r="I67" i="90"/>
  <c r="I68" i="90"/>
  <c r="I69" i="90"/>
  <c r="I70" i="90"/>
  <c r="I71" i="90"/>
  <c r="I72" i="90"/>
  <c r="I73" i="90"/>
  <c r="I3" i="89"/>
  <c r="I73" i="89"/>
  <c r="I2" i="89"/>
  <c r="I4" i="89"/>
  <c r="I5" i="89"/>
  <c r="I6" i="89"/>
  <c r="I7" i="89"/>
  <c r="I8" i="89"/>
  <c r="I9" i="89"/>
  <c r="I10" i="89"/>
  <c r="I11" i="89"/>
  <c r="I12" i="89"/>
  <c r="I13" i="89"/>
  <c r="I14" i="89"/>
  <c r="I15" i="89"/>
  <c r="I16" i="89"/>
  <c r="I17" i="89"/>
  <c r="I18" i="89"/>
  <c r="I19" i="89"/>
  <c r="I20" i="89"/>
  <c r="I21" i="89"/>
  <c r="I22" i="89"/>
  <c r="I23" i="89"/>
  <c r="I24" i="89"/>
  <c r="I25" i="89"/>
  <c r="I26" i="89"/>
  <c r="I27" i="89"/>
  <c r="I28" i="89"/>
  <c r="I29" i="89"/>
  <c r="I30" i="89"/>
  <c r="I31" i="89"/>
  <c r="I32" i="89"/>
  <c r="I33" i="89"/>
  <c r="I34" i="89"/>
  <c r="I35" i="89"/>
  <c r="I36" i="89"/>
  <c r="I37" i="89"/>
  <c r="I38" i="89"/>
  <c r="I39" i="89"/>
  <c r="I40" i="89"/>
  <c r="I41" i="89"/>
  <c r="I42" i="89"/>
  <c r="I43" i="89"/>
  <c r="I44" i="89"/>
  <c r="I45" i="89"/>
  <c r="I46" i="89"/>
  <c r="I47" i="89"/>
  <c r="I48" i="89"/>
  <c r="I49" i="89"/>
  <c r="I50" i="89"/>
  <c r="I51" i="89"/>
  <c r="I52" i="89"/>
  <c r="I53" i="89"/>
  <c r="I54" i="89"/>
  <c r="I55" i="89"/>
  <c r="I56" i="89"/>
  <c r="I57" i="89"/>
  <c r="I58" i="89"/>
  <c r="I59" i="89"/>
  <c r="I60" i="89"/>
  <c r="I61" i="89"/>
  <c r="I62" i="89"/>
  <c r="I63" i="89"/>
  <c r="I64" i="89"/>
  <c r="I65" i="89"/>
  <c r="I66" i="89"/>
  <c r="I67" i="89"/>
  <c r="I68" i="89"/>
  <c r="I69" i="89"/>
  <c r="I70" i="89"/>
  <c r="I71" i="89"/>
  <c r="I72" i="89"/>
  <c r="I2" i="88"/>
  <c r="I6" i="88"/>
  <c r="I3" i="88"/>
  <c r="I4" i="88"/>
  <c r="I5" i="88"/>
  <c r="I7" i="88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I50" i="88"/>
  <c r="I51" i="88"/>
  <c r="I52" i="88"/>
  <c r="I53" i="88"/>
  <c r="I54" i="88"/>
  <c r="I55" i="88"/>
  <c r="I56" i="88"/>
  <c r="I57" i="88"/>
  <c r="I58" i="88"/>
  <c r="I59" i="88"/>
  <c r="I60" i="88"/>
  <c r="I61" i="88"/>
  <c r="I62" i="88"/>
  <c r="I63" i="88"/>
  <c r="I64" i="88"/>
  <c r="I65" i="88"/>
  <c r="I66" i="88"/>
  <c r="I67" i="88"/>
  <c r="I68" i="88"/>
  <c r="I69" i="88"/>
  <c r="I70" i="88"/>
  <c r="I71" i="88"/>
  <c r="I72" i="88"/>
  <c r="I73" i="88"/>
  <c r="I2" i="87"/>
  <c r="I3" i="87"/>
  <c r="I4" i="87"/>
  <c r="I5" i="87"/>
  <c r="I6" i="87"/>
  <c r="I7" i="87"/>
  <c r="I8" i="87"/>
  <c r="I9" i="87"/>
  <c r="I10" i="87"/>
  <c r="I11" i="87"/>
  <c r="I12" i="87"/>
  <c r="I13" i="87"/>
  <c r="I14" i="87"/>
  <c r="I15" i="87"/>
  <c r="I16" i="87"/>
  <c r="I17" i="87"/>
  <c r="I18" i="87"/>
  <c r="I19" i="87"/>
  <c r="I20" i="87"/>
  <c r="I21" i="87"/>
  <c r="I22" i="87"/>
  <c r="I23" i="87"/>
  <c r="I24" i="87"/>
  <c r="I25" i="87"/>
  <c r="I26" i="87"/>
  <c r="I27" i="87"/>
  <c r="I28" i="87"/>
  <c r="I29" i="87"/>
  <c r="I30" i="87"/>
  <c r="I31" i="87"/>
  <c r="I32" i="87"/>
  <c r="I33" i="87"/>
  <c r="I34" i="87"/>
  <c r="I35" i="87"/>
  <c r="I36" i="87"/>
  <c r="I37" i="87"/>
  <c r="I38" i="87"/>
  <c r="I39" i="87"/>
  <c r="I40" i="87"/>
  <c r="I41" i="87"/>
  <c r="I42" i="87"/>
  <c r="I43" i="87"/>
  <c r="I44" i="87"/>
  <c r="I45" i="87"/>
  <c r="I46" i="87"/>
  <c r="I47" i="87"/>
  <c r="I48" i="87"/>
  <c r="I49" i="87"/>
  <c r="I50" i="87"/>
  <c r="I51" i="87"/>
  <c r="I52" i="87"/>
  <c r="I53" i="87"/>
  <c r="I54" i="87"/>
  <c r="I55" i="87"/>
  <c r="I56" i="87"/>
  <c r="I57" i="87"/>
  <c r="I58" i="87"/>
  <c r="I59" i="87"/>
  <c r="I60" i="87"/>
  <c r="I61" i="87"/>
  <c r="I62" i="87"/>
  <c r="I63" i="87"/>
  <c r="I64" i="87"/>
  <c r="I65" i="87"/>
  <c r="I66" i="87"/>
  <c r="I67" i="87"/>
  <c r="I68" i="87"/>
  <c r="I69" i="87"/>
  <c r="I70" i="87"/>
  <c r="I71" i="87"/>
  <c r="I72" i="87"/>
  <c r="I73" i="87"/>
  <c r="I13" i="51"/>
  <c r="I2" i="51"/>
  <c r="I4" i="86"/>
  <c r="I8" i="86"/>
  <c r="I2" i="86"/>
  <c r="I3" i="86"/>
  <c r="I5" i="86"/>
  <c r="I6" i="86"/>
  <c r="I7" i="86"/>
  <c r="I9" i="86"/>
  <c r="I10" i="86"/>
  <c r="I11" i="86"/>
  <c r="I12" i="86"/>
  <c r="I13" i="86"/>
  <c r="I14" i="86"/>
  <c r="I15" i="86"/>
  <c r="I16" i="86"/>
  <c r="I17" i="86"/>
  <c r="I18" i="86"/>
  <c r="I19" i="86"/>
  <c r="I20" i="86"/>
  <c r="I21" i="86"/>
  <c r="I22" i="86"/>
  <c r="I23" i="86"/>
  <c r="I24" i="86"/>
  <c r="I25" i="86"/>
  <c r="I26" i="86"/>
  <c r="I27" i="86"/>
  <c r="I28" i="86"/>
  <c r="I29" i="86"/>
  <c r="I30" i="86"/>
  <c r="I31" i="86"/>
  <c r="I32" i="86"/>
  <c r="I33" i="86"/>
  <c r="I34" i="86"/>
  <c r="I35" i="86"/>
  <c r="I36" i="86"/>
  <c r="I37" i="86"/>
  <c r="I38" i="86"/>
  <c r="I39" i="86"/>
  <c r="I40" i="86"/>
  <c r="I41" i="86"/>
  <c r="I42" i="86"/>
  <c r="I43" i="86"/>
  <c r="I44" i="86"/>
  <c r="I45" i="86"/>
  <c r="I46" i="86"/>
  <c r="I47" i="86"/>
  <c r="I48" i="86"/>
  <c r="I49" i="86"/>
  <c r="I50" i="86"/>
  <c r="I51" i="86"/>
  <c r="I52" i="86"/>
  <c r="I53" i="86"/>
  <c r="I54" i="86"/>
  <c r="I55" i="86"/>
  <c r="I56" i="86"/>
  <c r="I57" i="86"/>
  <c r="I58" i="86"/>
  <c r="I59" i="86"/>
  <c r="I60" i="86"/>
  <c r="I61" i="86"/>
  <c r="I62" i="86"/>
  <c r="I63" i="86"/>
  <c r="I64" i="86"/>
  <c r="I65" i="86"/>
  <c r="I66" i="86"/>
  <c r="I67" i="86"/>
  <c r="I68" i="86"/>
  <c r="I69" i="86"/>
  <c r="I70" i="86"/>
  <c r="I71" i="86"/>
  <c r="I72" i="86"/>
  <c r="I73" i="86"/>
  <c r="I6" i="85"/>
  <c r="I2" i="85"/>
  <c r="I3" i="85"/>
  <c r="I4" i="85"/>
  <c r="I5" i="85"/>
  <c r="I7" i="85"/>
  <c r="I8" i="85"/>
  <c r="I9" i="85"/>
  <c r="I10" i="85"/>
  <c r="I11" i="85"/>
  <c r="I12" i="85"/>
  <c r="I13" i="85"/>
  <c r="I14" i="85"/>
  <c r="I15" i="85"/>
  <c r="I16" i="85"/>
  <c r="I17" i="85"/>
  <c r="I18" i="85"/>
  <c r="I19" i="85"/>
  <c r="I20" i="85"/>
  <c r="I21" i="85"/>
  <c r="I22" i="85"/>
  <c r="I23" i="85"/>
  <c r="I24" i="85"/>
  <c r="I25" i="85"/>
  <c r="I26" i="85"/>
  <c r="I27" i="85"/>
  <c r="I28" i="85"/>
  <c r="I29" i="85"/>
  <c r="I30" i="85"/>
  <c r="I31" i="85"/>
  <c r="I32" i="85"/>
  <c r="I33" i="85"/>
  <c r="I34" i="85"/>
  <c r="I35" i="85"/>
  <c r="I36" i="85"/>
  <c r="I37" i="85"/>
  <c r="I38" i="85"/>
  <c r="I39" i="85"/>
  <c r="I40" i="85"/>
  <c r="I41" i="85"/>
  <c r="I42" i="85"/>
  <c r="I43" i="85"/>
  <c r="I44" i="85"/>
  <c r="I45" i="85"/>
  <c r="I46" i="85"/>
  <c r="I47" i="85"/>
  <c r="I48" i="85"/>
  <c r="I49" i="85"/>
  <c r="I50" i="85"/>
  <c r="I51" i="85"/>
  <c r="I52" i="85"/>
  <c r="I53" i="85"/>
  <c r="I54" i="85"/>
  <c r="I55" i="85"/>
  <c r="I56" i="85"/>
  <c r="I57" i="85"/>
  <c r="I58" i="85"/>
  <c r="I59" i="85"/>
  <c r="I60" i="85"/>
  <c r="I61" i="85"/>
  <c r="I62" i="85"/>
  <c r="I63" i="85"/>
  <c r="I64" i="85"/>
  <c r="I65" i="85"/>
  <c r="I66" i="85"/>
  <c r="I67" i="85"/>
  <c r="I68" i="85"/>
  <c r="I69" i="85"/>
  <c r="I70" i="85"/>
  <c r="I71" i="85"/>
  <c r="I72" i="85"/>
  <c r="I73" i="85"/>
  <c r="I2" i="84"/>
  <c r="I10" i="84"/>
  <c r="I3" i="84"/>
  <c r="I4" i="84"/>
  <c r="I5" i="84"/>
  <c r="I6" i="84"/>
  <c r="I7" i="84"/>
  <c r="I8" i="84"/>
  <c r="I9" i="84"/>
  <c r="I11" i="84"/>
  <c r="I12" i="84"/>
  <c r="I13" i="84"/>
  <c r="I14" i="84"/>
  <c r="I15" i="84"/>
  <c r="I16" i="84"/>
  <c r="I17" i="84"/>
  <c r="I18" i="84"/>
  <c r="I19" i="84"/>
  <c r="I20" i="84"/>
  <c r="I21" i="84"/>
  <c r="I22" i="84"/>
  <c r="I23" i="84"/>
  <c r="I24" i="84"/>
  <c r="I25" i="84"/>
  <c r="I26" i="84"/>
  <c r="I27" i="84"/>
  <c r="I28" i="84"/>
  <c r="I29" i="84"/>
  <c r="I30" i="84"/>
  <c r="I31" i="84"/>
  <c r="I32" i="84"/>
  <c r="I33" i="84"/>
  <c r="I34" i="84"/>
  <c r="I35" i="84"/>
  <c r="I36" i="84"/>
  <c r="I37" i="84"/>
  <c r="I38" i="84"/>
  <c r="I39" i="84"/>
  <c r="I40" i="84"/>
  <c r="I41" i="84"/>
  <c r="I42" i="84"/>
  <c r="I43" i="84"/>
  <c r="I44" i="84"/>
  <c r="I45" i="84"/>
  <c r="I46" i="84"/>
  <c r="I47" i="84"/>
  <c r="I48" i="84"/>
  <c r="I49" i="84"/>
  <c r="I50" i="84"/>
  <c r="I51" i="84"/>
  <c r="I52" i="84"/>
  <c r="I53" i="84"/>
  <c r="I54" i="84"/>
  <c r="I55" i="84"/>
  <c r="I56" i="84"/>
  <c r="I57" i="84"/>
  <c r="I58" i="84"/>
  <c r="I59" i="84"/>
  <c r="I60" i="84"/>
  <c r="I61" i="84"/>
  <c r="I62" i="84"/>
  <c r="I63" i="84"/>
  <c r="I64" i="84"/>
  <c r="I65" i="84"/>
  <c r="I66" i="84"/>
  <c r="I67" i="84"/>
  <c r="I68" i="84"/>
  <c r="I69" i="84"/>
  <c r="I70" i="84"/>
  <c r="I71" i="84"/>
  <c r="I72" i="84"/>
  <c r="I73" i="84"/>
  <c r="I2" i="83"/>
  <c r="I3" i="83"/>
  <c r="I4" i="83"/>
  <c r="I5" i="83"/>
  <c r="I6" i="83"/>
  <c r="I7" i="83"/>
  <c r="I8" i="83"/>
  <c r="I9" i="83"/>
  <c r="I10" i="83"/>
  <c r="I11" i="83"/>
  <c r="I12" i="83"/>
  <c r="I13" i="83"/>
  <c r="I14" i="83"/>
  <c r="I15" i="83"/>
  <c r="I16" i="83"/>
  <c r="I17" i="83"/>
  <c r="I18" i="83"/>
  <c r="I19" i="83"/>
  <c r="I20" i="83"/>
  <c r="I21" i="83"/>
  <c r="I22" i="83"/>
  <c r="I23" i="83"/>
  <c r="I24" i="83"/>
  <c r="I25" i="83"/>
  <c r="I26" i="83"/>
  <c r="I27" i="83"/>
  <c r="I28" i="83"/>
  <c r="I29" i="83"/>
  <c r="I30" i="83"/>
  <c r="I31" i="83"/>
  <c r="I32" i="83"/>
  <c r="I33" i="83"/>
  <c r="I34" i="83"/>
  <c r="I35" i="83"/>
  <c r="I36" i="83"/>
  <c r="I37" i="83"/>
  <c r="I38" i="83"/>
  <c r="I39" i="83"/>
  <c r="I40" i="83"/>
  <c r="I41" i="83"/>
  <c r="I42" i="83"/>
  <c r="I43" i="83"/>
  <c r="I44" i="83"/>
  <c r="I45" i="83"/>
  <c r="I46" i="83"/>
  <c r="I47" i="83"/>
  <c r="I48" i="83"/>
  <c r="I49" i="83"/>
  <c r="I50" i="83"/>
  <c r="I51" i="83"/>
  <c r="I52" i="83"/>
  <c r="I53" i="83"/>
  <c r="I54" i="83"/>
  <c r="I55" i="83"/>
  <c r="I56" i="83"/>
  <c r="I57" i="83"/>
  <c r="I58" i="83"/>
  <c r="I59" i="83"/>
  <c r="I60" i="83"/>
  <c r="I61" i="83"/>
  <c r="I62" i="83"/>
  <c r="I63" i="83"/>
  <c r="I64" i="83"/>
  <c r="I65" i="83"/>
  <c r="I66" i="83"/>
  <c r="I67" i="83"/>
  <c r="I68" i="83"/>
  <c r="I69" i="83"/>
  <c r="I70" i="83"/>
  <c r="I71" i="83"/>
  <c r="I72" i="83"/>
  <c r="I73" i="83"/>
  <c r="I2" i="82"/>
  <c r="I3" i="82"/>
  <c r="I4" i="82"/>
  <c r="I5" i="82"/>
  <c r="I6" i="82"/>
  <c r="I7" i="82"/>
  <c r="I8" i="82"/>
  <c r="I9" i="82"/>
  <c r="I10" i="82"/>
  <c r="I11" i="82"/>
  <c r="I12" i="82"/>
  <c r="I13" i="82"/>
  <c r="I14" i="82"/>
  <c r="I15" i="82"/>
  <c r="I16" i="82"/>
  <c r="I17" i="82"/>
  <c r="I18" i="82"/>
  <c r="I19" i="82"/>
  <c r="I20" i="82"/>
  <c r="I21" i="82"/>
  <c r="I22" i="82"/>
  <c r="I23" i="82"/>
  <c r="I24" i="82"/>
  <c r="I25" i="82"/>
  <c r="I26" i="82"/>
  <c r="I27" i="82"/>
  <c r="I28" i="82"/>
  <c r="I29" i="82"/>
  <c r="I30" i="82"/>
  <c r="I31" i="82"/>
  <c r="I32" i="82"/>
  <c r="I33" i="82"/>
  <c r="I34" i="82"/>
  <c r="I35" i="82"/>
  <c r="I36" i="82"/>
  <c r="I37" i="82"/>
  <c r="I38" i="82"/>
  <c r="I39" i="82"/>
  <c r="I40" i="82"/>
  <c r="I41" i="82"/>
  <c r="I42" i="82"/>
  <c r="I43" i="82"/>
  <c r="I44" i="82"/>
  <c r="I45" i="82"/>
  <c r="I46" i="82"/>
  <c r="I47" i="82"/>
  <c r="I48" i="82"/>
  <c r="I49" i="82"/>
  <c r="I50" i="82"/>
  <c r="I51" i="82"/>
  <c r="I52" i="82"/>
  <c r="I53" i="82"/>
  <c r="I54" i="82"/>
  <c r="I55" i="82"/>
  <c r="I56" i="82"/>
  <c r="I57" i="82"/>
  <c r="I58" i="82"/>
  <c r="I59" i="82"/>
  <c r="I60" i="82"/>
  <c r="I61" i="82"/>
  <c r="I62" i="82"/>
  <c r="I63" i="82"/>
  <c r="I64" i="82"/>
  <c r="I65" i="82"/>
  <c r="I66" i="82"/>
  <c r="I67" i="82"/>
  <c r="I68" i="82"/>
  <c r="I69" i="82"/>
  <c r="I70" i="82"/>
  <c r="I71" i="82"/>
  <c r="I72" i="82"/>
  <c r="I73" i="82"/>
  <c r="I2" i="81"/>
  <c r="I3" i="81"/>
  <c r="I4" i="81"/>
  <c r="I5" i="81"/>
  <c r="I6" i="81"/>
  <c r="I7" i="81"/>
  <c r="I8" i="81"/>
  <c r="I9" i="81"/>
  <c r="I10" i="81"/>
  <c r="I11" i="8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28" i="81"/>
  <c r="I29" i="81"/>
  <c r="I30" i="81"/>
  <c r="I31" i="81"/>
  <c r="I32" i="81"/>
  <c r="I33" i="81"/>
  <c r="I34" i="81"/>
  <c r="I35" i="81"/>
  <c r="I36" i="81"/>
  <c r="I37" i="81"/>
  <c r="I38" i="81"/>
  <c r="I39" i="81"/>
  <c r="I40" i="81"/>
  <c r="I41" i="81"/>
  <c r="I42" i="81"/>
  <c r="I43" i="81"/>
  <c r="I44" i="81"/>
  <c r="I45" i="81"/>
  <c r="I46" i="81"/>
  <c r="I47" i="81"/>
  <c r="I48" i="81"/>
  <c r="I49" i="81"/>
  <c r="I50" i="81"/>
  <c r="I51" i="81"/>
  <c r="I52" i="81"/>
  <c r="I53" i="81"/>
  <c r="I54" i="81"/>
  <c r="I55" i="81"/>
  <c r="I56" i="81"/>
  <c r="I57" i="81"/>
  <c r="I58" i="81"/>
  <c r="I59" i="81"/>
  <c r="I60" i="81"/>
  <c r="I61" i="81"/>
  <c r="I62" i="81"/>
  <c r="I63" i="81"/>
  <c r="I64" i="81"/>
  <c r="I65" i="81"/>
  <c r="I66" i="81"/>
  <c r="I67" i="81"/>
  <c r="I68" i="81"/>
  <c r="I69" i="81"/>
  <c r="I70" i="81"/>
  <c r="I71" i="81"/>
  <c r="I72" i="81"/>
  <c r="I73" i="81"/>
  <c r="I4" i="80"/>
  <c r="I2" i="80"/>
  <c r="I3" i="80"/>
  <c r="I5" i="80"/>
  <c r="I6" i="80"/>
  <c r="I7" i="80"/>
  <c r="I8" i="80"/>
  <c r="I9" i="80"/>
  <c r="I10" i="80"/>
  <c r="I11" i="80"/>
  <c r="I12" i="80"/>
  <c r="I13" i="80"/>
  <c r="I14" i="80"/>
  <c r="I15" i="80"/>
  <c r="I16" i="80"/>
  <c r="I17" i="80"/>
  <c r="I18" i="80"/>
  <c r="I19" i="80"/>
  <c r="I20" i="80"/>
  <c r="I21" i="80"/>
  <c r="I22" i="80"/>
  <c r="I23" i="80"/>
  <c r="I24" i="80"/>
  <c r="I25" i="80"/>
  <c r="I26" i="80"/>
  <c r="I27" i="80"/>
  <c r="I28" i="80"/>
  <c r="I29" i="80"/>
  <c r="I30" i="80"/>
  <c r="I31" i="80"/>
  <c r="I32" i="80"/>
  <c r="I33" i="80"/>
  <c r="I34" i="80"/>
  <c r="I35" i="80"/>
  <c r="I36" i="80"/>
  <c r="I37" i="80"/>
  <c r="I38" i="80"/>
  <c r="I39" i="80"/>
  <c r="I40" i="80"/>
  <c r="I41" i="80"/>
  <c r="I42" i="80"/>
  <c r="I43" i="80"/>
  <c r="I44" i="80"/>
  <c r="I45" i="80"/>
  <c r="I46" i="80"/>
  <c r="I47" i="80"/>
  <c r="I48" i="80"/>
  <c r="I49" i="80"/>
  <c r="I50" i="80"/>
  <c r="I51" i="80"/>
  <c r="I52" i="80"/>
  <c r="I53" i="80"/>
  <c r="I54" i="80"/>
  <c r="I55" i="80"/>
  <c r="I56" i="80"/>
  <c r="I57" i="80"/>
  <c r="I58" i="80"/>
  <c r="I59" i="80"/>
  <c r="I60" i="80"/>
  <c r="I61" i="80"/>
  <c r="I62" i="80"/>
  <c r="I63" i="80"/>
  <c r="I64" i="80"/>
  <c r="I65" i="80"/>
  <c r="I66" i="80"/>
  <c r="I67" i="80"/>
  <c r="I68" i="80"/>
  <c r="I69" i="80"/>
  <c r="I70" i="80"/>
  <c r="I71" i="80"/>
  <c r="I72" i="80"/>
  <c r="I73" i="80"/>
  <c r="I2" i="79"/>
  <c r="K2" i="103" l="1"/>
  <c r="B64" i="4" s="1"/>
  <c r="K2" i="107"/>
  <c r="B67" i="4" s="1"/>
  <c r="K2" i="106"/>
  <c r="B66" i="4" s="1"/>
  <c r="K2" i="104"/>
  <c r="B65" i="4" s="1"/>
  <c r="K2" i="102"/>
  <c r="B63" i="4" s="1"/>
  <c r="K2" i="100"/>
  <c r="B61" i="4" s="1"/>
  <c r="K2" i="101"/>
  <c r="B62" i="4" s="1"/>
  <c r="K2" i="99"/>
  <c r="B60" i="4" s="1"/>
  <c r="K2" i="98"/>
  <c r="B59" i="4" s="1"/>
  <c r="K2" i="97"/>
  <c r="B58" i="4" s="1"/>
  <c r="K2" i="96"/>
  <c r="B57" i="4" s="1"/>
  <c r="K2" i="94"/>
  <c r="B55" i="4" s="1"/>
  <c r="K2" i="95"/>
  <c r="B56" i="4" s="1"/>
  <c r="K2" i="93"/>
  <c r="B54" i="4" s="1"/>
  <c r="K2" i="91"/>
  <c r="B52" i="4" s="1"/>
  <c r="K2" i="92"/>
  <c r="B53" i="4" s="1"/>
  <c r="K2" i="90"/>
  <c r="B51" i="4" s="1"/>
  <c r="K2" i="89"/>
  <c r="B50" i="4" s="1"/>
  <c r="K2" i="88"/>
  <c r="B49" i="4" s="1"/>
  <c r="K2" i="86"/>
  <c r="B47" i="4" s="1"/>
  <c r="K2" i="87"/>
  <c r="B48" i="4" s="1"/>
  <c r="K2" i="85"/>
  <c r="B46" i="4" s="1"/>
  <c r="K2" i="84"/>
  <c r="B45" i="4" s="1"/>
  <c r="K2" i="82"/>
  <c r="B43" i="4" s="1"/>
  <c r="K2" i="83"/>
  <c r="B44" i="4" s="1"/>
  <c r="K2" i="81"/>
  <c r="B42" i="4" s="1"/>
  <c r="K2" i="80"/>
  <c r="B41" i="4" s="1"/>
  <c r="I3" i="79"/>
  <c r="I4" i="79"/>
  <c r="I5" i="79"/>
  <c r="I6" i="79"/>
  <c r="I7" i="79"/>
  <c r="I8" i="79"/>
  <c r="I9" i="79"/>
  <c r="I10" i="79"/>
  <c r="I11" i="79"/>
  <c r="I12" i="79"/>
  <c r="I13" i="79"/>
  <c r="I14" i="79"/>
  <c r="I15" i="79"/>
  <c r="I16" i="79"/>
  <c r="I17" i="79"/>
  <c r="I18" i="79"/>
  <c r="I19" i="79"/>
  <c r="I20" i="79"/>
  <c r="I21" i="79"/>
  <c r="I22" i="79"/>
  <c r="I23" i="79"/>
  <c r="I24" i="79"/>
  <c r="I25" i="79"/>
  <c r="I26" i="79"/>
  <c r="I27" i="79"/>
  <c r="I28" i="79"/>
  <c r="I29" i="79"/>
  <c r="I30" i="79"/>
  <c r="I31" i="79"/>
  <c r="I32" i="79"/>
  <c r="I33" i="79"/>
  <c r="I34" i="79"/>
  <c r="I35" i="79"/>
  <c r="I36" i="79"/>
  <c r="I37" i="79"/>
  <c r="I38" i="79"/>
  <c r="I39" i="79"/>
  <c r="I40" i="79"/>
  <c r="I41" i="79"/>
  <c r="I42" i="79"/>
  <c r="I43" i="79"/>
  <c r="I44" i="79"/>
  <c r="I45" i="79"/>
  <c r="I46" i="79"/>
  <c r="I47" i="79"/>
  <c r="I48" i="79"/>
  <c r="I49" i="79"/>
  <c r="I50" i="79"/>
  <c r="I51" i="79"/>
  <c r="I52" i="79"/>
  <c r="I53" i="79"/>
  <c r="I54" i="79"/>
  <c r="I55" i="79"/>
  <c r="I56" i="79"/>
  <c r="I57" i="79"/>
  <c r="I58" i="79"/>
  <c r="I59" i="79"/>
  <c r="I60" i="79"/>
  <c r="I61" i="79"/>
  <c r="I62" i="79"/>
  <c r="I63" i="79"/>
  <c r="I64" i="79"/>
  <c r="I65" i="79"/>
  <c r="I66" i="79"/>
  <c r="I67" i="79"/>
  <c r="I68" i="79"/>
  <c r="I69" i="79"/>
  <c r="I70" i="79"/>
  <c r="I71" i="79"/>
  <c r="I72" i="79"/>
  <c r="I73" i="79"/>
  <c r="I2" i="58"/>
  <c r="K2" i="79" l="1"/>
  <c r="B40" i="4" s="1"/>
  <c r="I4" i="78"/>
  <c r="I2" i="78"/>
  <c r="I3" i="78"/>
  <c r="I5" i="78"/>
  <c r="I6" i="78"/>
  <c r="I7" i="78"/>
  <c r="I8" i="78"/>
  <c r="I9" i="78"/>
  <c r="I10" i="78"/>
  <c r="I11" i="78"/>
  <c r="I12" i="78"/>
  <c r="I13" i="78"/>
  <c r="I14" i="78"/>
  <c r="I15" i="78"/>
  <c r="I16" i="78"/>
  <c r="I17" i="78"/>
  <c r="I18" i="78"/>
  <c r="I19" i="78"/>
  <c r="I20" i="78"/>
  <c r="I21" i="78"/>
  <c r="I22" i="78"/>
  <c r="I23" i="78"/>
  <c r="I24" i="78"/>
  <c r="I25" i="78"/>
  <c r="I26" i="78"/>
  <c r="I27" i="78"/>
  <c r="I28" i="78"/>
  <c r="I29" i="78"/>
  <c r="I30" i="78"/>
  <c r="I31" i="78"/>
  <c r="I32" i="78"/>
  <c r="I33" i="78"/>
  <c r="I34" i="78"/>
  <c r="I35" i="78"/>
  <c r="I36" i="78"/>
  <c r="I37" i="78"/>
  <c r="I38" i="78"/>
  <c r="I39" i="78"/>
  <c r="I40" i="78"/>
  <c r="I41" i="78"/>
  <c r="I42" i="78"/>
  <c r="I43" i="78"/>
  <c r="I44" i="78"/>
  <c r="I45" i="78"/>
  <c r="I46" i="78"/>
  <c r="I47" i="78"/>
  <c r="I48" i="78"/>
  <c r="I49" i="78"/>
  <c r="I50" i="78"/>
  <c r="I51" i="78"/>
  <c r="I52" i="78"/>
  <c r="I53" i="78"/>
  <c r="I54" i="78"/>
  <c r="I55" i="78"/>
  <c r="I56" i="78"/>
  <c r="I57" i="78"/>
  <c r="I58" i="78"/>
  <c r="I59" i="78"/>
  <c r="I60" i="78"/>
  <c r="I61" i="78"/>
  <c r="I62" i="78"/>
  <c r="I63" i="78"/>
  <c r="I64" i="78"/>
  <c r="I65" i="78"/>
  <c r="I66" i="78"/>
  <c r="I67" i="78"/>
  <c r="I68" i="78"/>
  <c r="I69" i="78"/>
  <c r="I70" i="78"/>
  <c r="I71" i="78"/>
  <c r="I72" i="78"/>
  <c r="I73" i="78"/>
  <c r="I2" i="48"/>
  <c r="I5" i="76"/>
  <c r="I2" i="76"/>
  <c r="I3" i="76"/>
  <c r="I4" i="76"/>
  <c r="I6" i="76"/>
  <c r="I7" i="76"/>
  <c r="I8" i="76"/>
  <c r="I9" i="76"/>
  <c r="I10" i="76"/>
  <c r="I11" i="76"/>
  <c r="I12" i="76"/>
  <c r="I13" i="76"/>
  <c r="I14" i="76"/>
  <c r="I15" i="76"/>
  <c r="I16" i="76"/>
  <c r="I17" i="76"/>
  <c r="I18" i="76"/>
  <c r="I19" i="76"/>
  <c r="I20" i="76"/>
  <c r="I21" i="76"/>
  <c r="I22" i="76"/>
  <c r="I23" i="76"/>
  <c r="I24" i="76"/>
  <c r="I25" i="76"/>
  <c r="I26" i="76"/>
  <c r="I27" i="76"/>
  <c r="I28" i="76"/>
  <c r="I29" i="76"/>
  <c r="I30" i="76"/>
  <c r="I31" i="76"/>
  <c r="I32" i="76"/>
  <c r="I33" i="76"/>
  <c r="I34" i="76"/>
  <c r="I35" i="76"/>
  <c r="I36" i="76"/>
  <c r="I37" i="76"/>
  <c r="I38" i="76"/>
  <c r="I39" i="76"/>
  <c r="I40" i="76"/>
  <c r="I41" i="76"/>
  <c r="I42" i="76"/>
  <c r="I43" i="76"/>
  <c r="I44" i="76"/>
  <c r="I45" i="76"/>
  <c r="I46" i="76"/>
  <c r="I47" i="76"/>
  <c r="I48" i="76"/>
  <c r="I49" i="76"/>
  <c r="I50" i="76"/>
  <c r="I51" i="76"/>
  <c r="I52" i="76"/>
  <c r="I53" i="76"/>
  <c r="I54" i="76"/>
  <c r="I55" i="76"/>
  <c r="I56" i="76"/>
  <c r="I57" i="76"/>
  <c r="I58" i="76"/>
  <c r="I59" i="76"/>
  <c r="I60" i="76"/>
  <c r="I61" i="76"/>
  <c r="I62" i="76"/>
  <c r="I63" i="76"/>
  <c r="I64" i="76"/>
  <c r="I65" i="76"/>
  <c r="I66" i="76"/>
  <c r="I67" i="76"/>
  <c r="I68" i="76"/>
  <c r="I69" i="76"/>
  <c r="I70" i="76"/>
  <c r="I71" i="76"/>
  <c r="I72" i="76"/>
  <c r="I73" i="76"/>
  <c r="I2" i="75"/>
  <c r="I3" i="75"/>
  <c r="I4" i="75"/>
  <c r="I5" i="75"/>
  <c r="I6" i="75"/>
  <c r="I7" i="75"/>
  <c r="I8" i="75"/>
  <c r="I9" i="75"/>
  <c r="I10" i="75"/>
  <c r="I11" i="75"/>
  <c r="I12" i="75"/>
  <c r="I13" i="75"/>
  <c r="I14" i="75"/>
  <c r="I15" i="75"/>
  <c r="I16" i="75"/>
  <c r="I17" i="75"/>
  <c r="I18" i="75"/>
  <c r="I19" i="75"/>
  <c r="I20" i="75"/>
  <c r="I21" i="75"/>
  <c r="I22" i="75"/>
  <c r="I23" i="75"/>
  <c r="I24" i="75"/>
  <c r="I25" i="75"/>
  <c r="I26" i="75"/>
  <c r="I27" i="75"/>
  <c r="I28" i="75"/>
  <c r="I29" i="75"/>
  <c r="I30" i="75"/>
  <c r="I31" i="75"/>
  <c r="I32" i="75"/>
  <c r="I33" i="75"/>
  <c r="I34" i="75"/>
  <c r="I35" i="75"/>
  <c r="I36" i="75"/>
  <c r="I37" i="75"/>
  <c r="I38" i="75"/>
  <c r="I39" i="75"/>
  <c r="I40" i="75"/>
  <c r="I41" i="75"/>
  <c r="I42" i="75"/>
  <c r="I43" i="75"/>
  <c r="I44" i="75"/>
  <c r="I45" i="75"/>
  <c r="I46" i="75"/>
  <c r="I47" i="75"/>
  <c r="I48" i="75"/>
  <c r="I49" i="75"/>
  <c r="I50" i="75"/>
  <c r="I51" i="75"/>
  <c r="I52" i="75"/>
  <c r="I53" i="75"/>
  <c r="I54" i="75"/>
  <c r="I55" i="75"/>
  <c r="I56" i="75"/>
  <c r="I57" i="75"/>
  <c r="I58" i="75"/>
  <c r="I59" i="75"/>
  <c r="I60" i="75"/>
  <c r="I61" i="75"/>
  <c r="I62" i="75"/>
  <c r="I63" i="75"/>
  <c r="I64" i="75"/>
  <c r="I65" i="75"/>
  <c r="I66" i="75"/>
  <c r="I67" i="75"/>
  <c r="I68" i="75"/>
  <c r="I69" i="75"/>
  <c r="I70" i="75"/>
  <c r="I71" i="75"/>
  <c r="I72" i="75"/>
  <c r="I73" i="75"/>
  <c r="I2" i="73"/>
  <c r="I3" i="73"/>
  <c r="I4" i="73"/>
  <c r="I5" i="73"/>
  <c r="I6" i="73"/>
  <c r="I7" i="73"/>
  <c r="I8" i="73"/>
  <c r="I9" i="73"/>
  <c r="I10" i="73"/>
  <c r="I11" i="73"/>
  <c r="I12" i="73"/>
  <c r="I13" i="73"/>
  <c r="I14" i="73"/>
  <c r="I15" i="73"/>
  <c r="I16" i="73"/>
  <c r="I17" i="73"/>
  <c r="I18" i="73"/>
  <c r="I19" i="73"/>
  <c r="I20" i="73"/>
  <c r="I21" i="73"/>
  <c r="I22" i="73"/>
  <c r="I23" i="73"/>
  <c r="I24" i="73"/>
  <c r="I25" i="73"/>
  <c r="I26" i="73"/>
  <c r="I27" i="73"/>
  <c r="I28" i="73"/>
  <c r="I29" i="73"/>
  <c r="I30" i="73"/>
  <c r="I31" i="73"/>
  <c r="I32" i="73"/>
  <c r="I33" i="73"/>
  <c r="I34" i="73"/>
  <c r="I35" i="73"/>
  <c r="I36" i="73"/>
  <c r="I37" i="73"/>
  <c r="I38" i="73"/>
  <c r="I39" i="73"/>
  <c r="I40" i="73"/>
  <c r="I41" i="73"/>
  <c r="I42" i="73"/>
  <c r="I43" i="73"/>
  <c r="I44" i="73"/>
  <c r="I45" i="73"/>
  <c r="I46" i="73"/>
  <c r="I47" i="73"/>
  <c r="I48" i="73"/>
  <c r="I49" i="73"/>
  <c r="I50" i="73"/>
  <c r="I51" i="73"/>
  <c r="I52" i="73"/>
  <c r="I53" i="73"/>
  <c r="I54" i="73"/>
  <c r="I55" i="73"/>
  <c r="I56" i="73"/>
  <c r="I57" i="73"/>
  <c r="I58" i="73"/>
  <c r="I59" i="73"/>
  <c r="I60" i="73"/>
  <c r="I61" i="73"/>
  <c r="I62" i="73"/>
  <c r="I63" i="73"/>
  <c r="I64" i="73"/>
  <c r="I65" i="73"/>
  <c r="I66" i="73"/>
  <c r="I67" i="73"/>
  <c r="I68" i="73"/>
  <c r="I69" i="73"/>
  <c r="I70" i="73"/>
  <c r="I71" i="73"/>
  <c r="I72" i="73"/>
  <c r="I73" i="73"/>
  <c r="I2" i="72"/>
  <c r="I8" i="72"/>
  <c r="I3" i="72"/>
  <c r="I4" i="72"/>
  <c r="I5" i="72"/>
  <c r="I6" i="72"/>
  <c r="I7" i="72"/>
  <c r="I9" i="72"/>
  <c r="I10" i="72"/>
  <c r="I11" i="72"/>
  <c r="I12" i="72"/>
  <c r="I13" i="72"/>
  <c r="I14" i="72"/>
  <c r="I15" i="72"/>
  <c r="I16" i="72"/>
  <c r="I17" i="72"/>
  <c r="I18" i="72"/>
  <c r="I19" i="72"/>
  <c r="I20" i="72"/>
  <c r="I21" i="72"/>
  <c r="I22" i="72"/>
  <c r="I23" i="72"/>
  <c r="I24" i="72"/>
  <c r="I25" i="72"/>
  <c r="I26" i="72"/>
  <c r="I27" i="72"/>
  <c r="I28" i="72"/>
  <c r="I29" i="72"/>
  <c r="I30" i="72"/>
  <c r="I31" i="72"/>
  <c r="I32" i="72"/>
  <c r="I33" i="72"/>
  <c r="I34" i="72"/>
  <c r="I35" i="72"/>
  <c r="I36" i="72"/>
  <c r="I37" i="72"/>
  <c r="I38" i="72"/>
  <c r="I39" i="72"/>
  <c r="I40" i="72"/>
  <c r="I41" i="72"/>
  <c r="I42" i="72"/>
  <c r="I43" i="72"/>
  <c r="I44" i="72"/>
  <c r="I45" i="72"/>
  <c r="I46" i="72"/>
  <c r="I47" i="72"/>
  <c r="I48" i="72"/>
  <c r="I49" i="72"/>
  <c r="I50" i="72"/>
  <c r="I51" i="72"/>
  <c r="I52" i="72"/>
  <c r="I53" i="72"/>
  <c r="I54" i="72"/>
  <c r="I55" i="72"/>
  <c r="I56" i="72"/>
  <c r="I57" i="72"/>
  <c r="I58" i="72"/>
  <c r="I59" i="72"/>
  <c r="I60" i="72"/>
  <c r="I61" i="72"/>
  <c r="I62" i="72"/>
  <c r="I63" i="72"/>
  <c r="I64" i="72"/>
  <c r="I65" i="72"/>
  <c r="I66" i="72"/>
  <c r="I67" i="72"/>
  <c r="I68" i="72"/>
  <c r="I69" i="72"/>
  <c r="I70" i="72"/>
  <c r="I71" i="72"/>
  <c r="I72" i="72"/>
  <c r="I73" i="72"/>
  <c r="I18" i="71"/>
  <c r="I2" i="71"/>
  <c r="I8" i="71"/>
  <c r="I3" i="71"/>
  <c r="I4" i="71"/>
  <c r="I5" i="71"/>
  <c r="I6" i="71"/>
  <c r="I7" i="71"/>
  <c r="I9" i="71"/>
  <c r="I10" i="71"/>
  <c r="I11" i="71"/>
  <c r="I12" i="71"/>
  <c r="I13" i="71"/>
  <c r="I14" i="71"/>
  <c r="I15" i="71"/>
  <c r="I16" i="71"/>
  <c r="I17" i="71"/>
  <c r="I19" i="71"/>
  <c r="I20" i="71"/>
  <c r="I21" i="71"/>
  <c r="I22" i="71"/>
  <c r="I23" i="71"/>
  <c r="I24" i="71"/>
  <c r="I25" i="71"/>
  <c r="I26" i="71"/>
  <c r="I27" i="71"/>
  <c r="I28" i="71"/>
  <c r="I29" i="71"/>
  <c r="I30" i="71"/>
  <c r="I31" i="71"/>
  <c r="I32" i="71"/>
  <c r="I33" i="71"/>
  <c r="I34" i="71"/>
  <c r="I35" i="71"/>
  <c r="I36" i="71"/>
  <c r="I37" i="71"/>
  <c r="I38" i="71"/>
  <c r="I39" i="71"/>
  <c r="I40" i="71"/>
  <c r="I41" i="71"/>
  <c r="I42" i="71"/>
  <c r="I43" i="71"/>
  <c r="I44" i="71"/>
  <c r="I45" i="71"/>
  <c r="I46" i="71"/>
  <c r="I47" i="71"/>
  <c r="I48" i="71"/>
  <c r="I49" i="71"/>
  <c r="I50" i="71"/>
  <c r="I51" i="71"/>
  <c r="I52" i="71"/>
  <c r="I53" i="71"/>
  <c r="I54" i="71"/>
  <c r="I55" i="71"/>
  <c r="I56" i="71"/>
  <c r="I57" i="71"/>
  <c r="I58" i="71"/>
  <c r="I59" i="71"/>
  <c r="I60" i="71"/>
  <c r="I61" i="71"/>
  <c r="I62" i="71"/>
  <c r="I63" i="71"/>
  <c r="I64" i="71"/>
  <c r="I65" i="71"/>
  <c r="I66" i="71"/>
  <c r="I67" i="71"/>
  <c r="I68" i="71"/>
  <c r="I69" i="71"/>
  <c r="I70" i="71"/>
  <c r="I71" i="71"/>
  <c r="I72" i="71"/>
  <c r="I73" i="71"/>
  <c r="I2" i="69"/>
  <c r="I6" i="69"/>
  <c r="I3" i="69"/>
  <c r="I4" i="69"/>
  <c r="I5" i="69"/>
  <c r="I7" i="69"/>
  <c r="I8" i="69"/>
  <c r="I9" i="69"/>
  <c r="I10" i="69"/>
  <c r="I11" i="69"/>
  <c r="I12" i="69"/>
  <c r="I13" i="69"/>
  <c r="I14" i="69"/>
  <c r="I15" i="69"/>
  <c r="I16" i="69"/>
  <c r="I17" i="69"/>
  <c r="I18" i="69"/>
  <c r="I19" i="69"/>
  <c r="I20" i="69"/>
  <c r="I21" i="69"/>
  <c r="I22" i="69"/>
  <c r="I23" i="69"/>
  <c r="I24" i="69"/>
  <c r="I25" i="69"/>
  <c r="I26" i="69"/>
  <c r="I27" i="69"/>
  <c r="I28" i="69"/>
  <c r="I29" i="69"/>
  <c r="I30" i="69"/>
  <c r="I31" i="69"/>
  <c r="I32" i="69"/>
  <c r="I33" i="69"/>
  <c r="I34" i="69"/>
  <c r="I35" i="69"/>
  <c r="I36" i="69"/>
  <c r="I37" i="69"/>
  <c r="I38" i="69"/>
  <c r="I39" i="69"/>
  <c r="I40" i="69"/>
  <c r="I41" i="69"/>
  <c r="I42" i="69"/>
  <c r="I43" i="69"/>
  <c r="I44" i="69"/>
  <c r="I45" i="69"/>
  <c r="I46" i="69"/>
  <c r="I47" i="69"/>
  <c r="I48" i="69"/>
  <c r="I49" i="69"/>
  <c r="I50" i="69"/>
  <c r="I51" i="69"/>
  <c r="I52" i="69"/>
  <c r="I53" i="69"/>
  <c r="I54" i="69"/>
  <c r="I55" i="69"/>
  <c r="I56" i="69"/>
  <c r="I57" i="69"/>
  <c r="I58" i="69"/>
  <c r="I59" i="69"/>
  <c r="I60" i="69"/>
  <c r="I61" i="69"/>
  <c r="I62" i="69"/>
  <c r="I63" i="69"/>
  <c r="I64" i="69"/>
  <c r="I65" i="69"/>
  <c r="I66" i="69"/>
  <c r="I67" i="69"/>
  <c r="I68" i="69"/>
  <c r="I69" i="69"/>
  <c r="I70" i="69"/>
  <c r="I71" i="69"/>
  <c r="I72" i="69"/>
  <c r="I73" i="69"/>
  <c r="I2" i="68"/>
  <c r="I3" i="68"/>
  <c r="I4" i="68"/>
  <c r="I5" i="68"/>
  <c r="I6" i="68"/>
  <c r="I7" i="68"/>
  <c r="I8" i="68"/>
  <c r="I9" i="68"/>
  <c r="I10" i="68"/>
  <c r="I11" i="68"/>
  <c r="I12" i="68"/>
  <c r="I13" i="68"/>
  <c r="I14" i="68"/>
  <c r="I15" i="68"/>
  <c r="I16" i="68"/>
  <c r="I17" i="68"/>
  <c r="I18" i="68"/>
  <c r="I19" i="68"/>
  <c r="I20" i="68"/>
  <c r="I21" i="68"/>
  <c r="I22" i="68"/>
  <c r="I23" i="68"/>
  <c r="I24" i="68"/>
  <c r="I25" i="68"/>
  <c r="I26" i="68"/>
  <c r="I27" i="68"/>
  <c r="I28" i="68"/>
  <c r="I29" i="68"/>
  <c r="I30" i="68"/>
  <c r="I31" i="68"/>
  <c r="I32" i="68"/>
  <c r="I33" i="68"/>
  <c r="I34" i="68"/>
  <c r="I35" i="68"/>
  <c r="I36" i="68"/>
  <c r="I37" i="68"/>
  <c r="I38" i="68"/>
  <c r="I39" i="68"/>
  <c r="I40" i="68"/>
  <c r="I41" i="68"/>
  <c r="I42" i="68"/>
  <c r="I43" i="68"/>
  <c r="I44" i="68"/>
  <c r="I45" i="68"/>
  <c r="I46" i="68"/>
  <c r="I47" i="68"/>
  <c r="I48" i="68"/>
  <c r="I49" i="68"/>
  <c r="I50" i="68"/>
  <c r="I51" i="68"/>
  <c r="I52" i="68"/>
  <c r="I53" i="68"/>
  <c r="I54" i="68"/>
  <c r="I55" i="68"/>
  <c r="I56" i="68"/>
  <c r="I57" i="68"/>
  <c r="I58" i="68"/>
  <c r="I59" i="68"/>
  <c r="I60" i="68"/>
  <c r="I61" i="68"/>
  <c r="I62" i="68"/>
  <c r="I63" i="68"/>
  <c r="I64" i="68"/>
  <c r="I65" i="68"/>
  <c r="I66" i="68"/>
  <c r="I67" i="68"/>
  <c r="I68" i="68"/>
  <c r="I69" i="68"/>
  <c r="I70" i="68"/>
  <c r="I71" i="68"/>
  <c r="I72" i="68"/>
  <c r="I73" i="68"/>
  <c r="I6" i="67"/>
  <c r="I3" i="67"/>
  <c r="I2" i="67"/>
  <c r="I4" i="67"/>
  <c r="I5" i="67"/>
  <c r="I7" i="67"/>
  <c r="I8" i="67"/>
  <c r="I9" i="67"/>
  <c r="I10" i="67"/>
  <c r="I11" i="67"/>
  <c r="I12" i="67"/>
  <c r="I13" i="67"/>
  <c r="I14" i="67"/>
  <c r="I15" i="67"/>
  <c r="I16" i="67"/>
  <c r="I17" i="67"/>
  <c r="I18" i="67"/>
  <c r="I19" i="67"/>
  <c r="I20" i="67"/>
  <c r="I21" i="67"/>
  <c r="I22" i="67"/>
  <c r="I23" i="67"/>
  <c r="I24" i="67"/>
  <c r="I25" i="67"/>
  <c r="I26" i="67"/>
  <c r="I27" i="67"/>
  <c r="I28" i="67"/>
  <c r="I29" i="67"/>
  <c r="I30" i="67"/>
  <c r="I31" i="67"/>
  <c r="I32" i="67"/>
  <c r="I33" i="67"/>
  <c r="I34" i="67"/>
  <c r="I35" i="67"/>
  <c r="I36" i="67"/>
  <c r="I37" i="67"/>
  <c r="I38" i="67"/>
  <c r="I39" i="67"/>
  <c r="I40" i="67"/>
  <c r="I41" i="67"/>
  <c r="I42" i="67"/>
  <c r="I43" i="67"/>
  <c r="I44" i="67"/>
  <c r="I45" i="67"/>
  <c r="I46" i="67"/>
  <c r="I47" i="67"/>
  <c r="I48" i="67"/>
  <c r="I49" i="67"/>
  <c r="I50" i="67"/>
  <c r="I51" i="67"/>
  <c r="I52" i="67"/>
  <c r="I53" i="67"/>
  <c r="I54" i="67"/>
  <c r="I55" i="67"/>
  <c r="I56" i="67"/>
  <c r="I57" i="67"/>
  <c r="I58" i="67"/>
  <c r="I59" i="67"/>
  <c r="I60" i="67"/>
  <c r="I61" i="67"/>
  <c r="I62" i="67"/>
  <c r="I63" i="67"/>
  <c r="I64" i="67"/>
  <c r="I65" i="67"/>
  <c r="I66" i="67"/>
  <c r="I67" i="67"/>
  <c r="I68" i="67"/>
  <c r="I69" i="67"/>
  <c r="I70" i="67"/>
  <c r="I71" i="67"/>
  <c r="I72" i="67"/>
  <c r="I73" i="67"/>
  <c r="I2" i="41"/>
  <c r="I73" i="66"/>
  <c r="I9" i="66"/>
  <c r="I3" i="66"/>
  <c r="I2" i="66"/>
  <c r="I4" i="66"/>
  <c r="I5" i="66"/>
  <c r="I6" i="66"/>
  <c r="I7" i="66"/>
  <c r="I8" i="66"/>
  <c r="I10" i="66"/>
  <c r="I11" i="66"/>
  <c r="I12" i="66"/>
  <c r="I13" i="66"/>
  <c r="I14" i="66"/>
  <c r="I15" i="66"/>
  <c r="I16" i="66"/>
  <c r="I17" i="66"/>
  <c r="I18" i="66"/>
  <c r="I19" i="66"/>
  <c r="I20" i="66"/>
  <c r="I21" i="66"/>
  <c r="I22" i="66"/>
  <c r="I23" i="66"/>
  <c r="I24" i="66"/>
  <c r="I25" i="66"/>
  <c r="I26" i="66"/>
  <c r="I27" i="66"/>
  <c r="I28" i="66"/>
  <c r="I29" i="66"/>
  <c r="I30" i="66"/>
  <c r="I31" i="66"/>
  <c r="I32" i="66"/>
  <c r="I33" i="66"/>
  <c r="I34" i="66"/>
  <c r="I35" i="66"/>
  <c r="I36" i="66"/>
  <c r="I37" i="66"/>
  <c r="I38" i="66"/>
  <c r="I39" i="66"/>
  <c r="I40" i="66"/>
  <c r="I41" i="66"/>
  <c r="I42" i="66"/>
  <c r="I43" i="66"/>
  <c r="I44" i="66"/>
  <c r="I45" i="66"/>
  <c r="I46" i="66"/>
  <c r="I47" i="66"/>
  <c r="I48" i="66"/>
  <c r="I49" i="66"/>
  <c r="I50" i="66"/>
  <c r="I51" i="66"/>
  <c r="I52" i="66"/>
  <c r="I53" i="66"/>
  <c r="I54" i="66"/>
  <c r="I55" i="66"/>
  <c r="I56" i="66"/>
  <c r="I57" i="66"/>
  <c r="I58" i="66"/>
  <c r="I59" i="66"/>
  <c r="I60" i="66"/>
  <c r="I61" i="66"/>
  <c r="I62" i="66"/>
  <c r="I63" i="66"/>
  <c r="I64" i="66"/>
  <c r="I65" i="66"/>
  <c r="I66" i="66"/>
  <c r="I67" i="66"/>
  <c r="I68" i="66"/>
  <c r="I69" i="66"/>
  <c r="I70" i="66"/>
  <c r="I71" i="66"/>
  <c r="I72" i="66"/>
  <c r="I2" i="65"/>
  <c r="I2" i="37"/>
  <c r="I6" i="65"/>
  <c r="I3" i="65"/>
  <c r="I4" i="65"/>
  <c r="I5" i="65"/>
  <c r="I7" i="65"/>
  <c r="I8" i="65"/>
  <c r="I9" i="65"/>
  <c r="I10" i="65"/>
  <c r="I11" i="65"/>
  <c r="I12" i="65"/>
  <c r="I13" i="65"/>
  <c r="I14" i="65"/>
  <c r="I15" i="65"/>
  <c r="I16" i="65"/>
  <c r="I17" i="65"/>
  <c r="I18" i="65"/>
  <c r="I19" i="65"/>
  <c r="I20" i="65"/>
  <c r="I21" i="65"/>
  <c r="I22" i="65"/>
  <c r="I23" i="65"/>
  <c r="I24" i="65"/>
  <c r="I25" i="65"/>
  <c r="I26" i="65"/>
  <c r="I27" i="65"/>
  <c r="I28" i="65"/>
  <c r="I29" i="65"/>
  <c r="I30" i="65"/>
  <c r="I31" i="65"/>
  <c r="I32" i="65"/>
  <c r="I33" i="65"/>
  <c r="I34" i="65"/>
  <c r="I35" i="65"/>
  <c r="I36" i="65"/>
  <c r="I37" i="65"/>
  <c r="I38" i="65"/>
  <c r="I39" i="65"/>
  <c r="I40" i="65"/>
  <c r="I41" i="65"/>
  <c r="I42" i="65"/>
  <c r="I43" i="65"/>
  <c r="I44" i="65"/>
  <c r="I45" i="65"/>
  <c r="I46" i="65"/>
  <c r="I47" i="65"/>
  <c r="I48" i="65"/>
  <c r="I49" i="65"/>
  <c r="I50" i="65"/>
  <c r="I51" i="65"/>
  <c r="I52" i="65"/>
  <c r="I53" i="65"/>
  <c r="I54" i="65"/>
  <c r="I55" i="65"/>
  <c r="I56" i="65"/>
  <c r="I57" i="65"/>
  <c r="I58" i="65"/>
  <c r="I59" i="65"/>
  <c r="I60" i="65"/>
  <c r="I61" i="65"/>
  <c r="I62" i="65"/>
  <c r="I63" i="65"/>
  <c r="I64" i="65"/>
  <c r="I65" i="65"/>
  <c r="I66" i="65"/>
  <c r="I67" i="65"/>
  <c r="I68" i="65"/>
  <c r="I69" i="65"/>
  <c r="I70" i="65"/>
  <c r="I71" i="65"/>
  <c r="I72" i="65"/>
  <c r="I73" i="65"/>
  <c r="I2" i="64"/>
  <c r="I3" i="64"/>
  <c r="I4" i="64"/>
  <c r="I5" i="64"/>
  <c r="I6" i="64"/>
  <c r="I7" i="64"/>
  <c r="I8" i="64"/>
  <c r="I9" i="64"/>
  <c r="I10" i="64"/>
  <c r="I11" i="64"/>
  <c r="I12" i="64"/>
  <c r="I13" i="64"/>
  <c r="I14" i="64"/>
  <c r="I15" i="64"/>
  <c r="I16" i="64"/>
  <c r="I17" i="64"/>
  <c r="I18" i="64"/>
  <c r="I19" i="64"/>
  <c r="I20" i="64"/>
  <c r="I21" i="64"/>
  <c r="I22" i="64"/>
  <c r="I23" i="64"/>
  <c r="I24" i="64"/>
  <c r="I25" i="64"/>
  <c r="I26" i="64"/>
  <c r="I27" i="64"/>
  <c r="I28" i="64"/>
  <c r="I29" i="64"/>
  <c r="I30" i="64"/>
  <c r="I31" i="64"/>
  <c r="I32" i="64"/>
  <c r="I33" i="64"/>
  <c r="I34" i="64"/>
  <c r="I35" i="64"/>
  <c r="I36" i="64"/>
  <c r="I37" i="64"/>
  <c r="I38" i="64"/>
  <c r="I39" i="64"/>
  <c r="I40" i="64"/>
  <c r="I41" i="64"/>
  <c r="I42" i="64"/>
  <c r="I43" i="64"/>
  <c r="I44" i="64"/>
  <c r="I45" i="64"/>
  <c r="I46" i="64"/>
  <c r="I47" i="64"/>
  <c r="I48" i="64"/>
  <c r="I49" i="64"/>
  <c r="I50" i="64"/>
  <c r="I51" i="64"/>
  <c r="I52" i="64"/>
  <c r="I53" i="64"/>
  <c r="I54" i="64"/>
  <c r="I55" i="64"/>
  <c r="I56" i="64"/>
  <c r="I57" i="64"/>
  <c r="I58" i="64"/>
  <c r="I59" i="64"/>
  <c r="I60" i="64"/>
  <c r="I61" i="64"/>
  <c r="I62" i="64"/>
  <c r="I63" i="64"/>
  <c r="I64" i="64"/>
  <c r="I65" i="64"/>
  <c r="I66" i="64"/>
  <c r="I67" i="64"/>
  <c r="I68" i="64"/>
  <c r="I69" i="64"/>
  <c r="I70" i="64"/>
  <c r="I71" i="64"/>
  <c r="I72" i="64"/>
  <c r="I73" i="64"/>
  <c r="I73" i="63"/>
  <c r="I3" i="63"/>
  <c r="I2" i="63"/>
  <c r="I4" i="63"/>
  <c r="I5" i="63"/>
  <c r="I6" i="63"/>
  <c r="I7" i="63"/>
  <c r="I8" i="63"/>
  <c r="I9" i="63"/>
  <c r="I10" i="63"/>
  <c r="I11" i="63"/>
  <c r="I12" i="63"/>
  <c r="I13" i="63"/>
  <c r="I14" i="63"/>
  <c r="I15" i="63"/>
  <c r="I16" i="63"/>
  <c r="I17" i="63"/>
  <c r="I18" i="63"/>
  <c r="I19" i="63"/>
  <c r="I20" i="63"/>
  <c r="I21" i="63"/>
  <c r="I22" i="63"/>
  <c r="I23" i="63"/>
  <c r="I24" i="63"/>
  <c r="I25" i="63"/>
  <c r="I26" i="63"/>
  <c r="I27" i="63"/>
  <c r="I28" i="63"/>
  <c r="I29" i="63"/>
  <c r="I30" i="63"/>
  <c r="I31" i="63"/>
  <c r="I32" i="63"/>
  <c r="I33" i="63"/>
  <c r="I34" i="63"/>
  <c r="I35" i="63"/>
  <c r="I36" i="63"/>
  <c r="I37" i="63"/>
  <c r="I38" i="63"/>
  <c r="I39" i="63"/>
  <c r="I40" i="63"/>
  <c r="I41" i="63"/>
  <c r="I42" i="63"/>
  <c r="I43" i="63"/>
  <c r="I44" i="63"/>
  <c r="I45" i="63"/>
  <c r="I46" i="63"/>
  <c r="I47" i="63"/>
  <c r="I48" i="63"/>
  <c r="I49" i="63"/>
  <c r="I50" i="63"/>
  <c r="I51" i="63"/>
  <c r="I52" i="63"/>
  <c r="I53" i="63"/>
  <c r="I54" i="63"/>
  <c r="I55" i="63"/>
  <c r="I56" i="63"/>
  <c r="I57" i="63"/>
  <c r="I58" i="63"/>
  <c r="I59" i="63"/>
  <c r="I60" i="63"/>
  <c r="I61" i="63"/>
  <c r="I62" i="63"/>
  <c r="I63" i="63"/>
  <c r="I64" i="63"/>
  <c r="I65" i="63"/>
  <c r="I66" i="63"/>
  <c r="I67" i="63"/>
  <c r="I68" i="63"/>
  <c r="I69" i="63"/>
  <c r="I70" i="63"/>
  <c r="I71" i="63"/>
  <c r="I72" i="63"/>
  <c r="I16" i="62"/>
  <c r="I2" i="62"/>
  <c r="I3" i="62"/>
  <c r="I4" i="62"/>
  <c r="I5" i="62"/>
  <c r="I6" i="62"/>
  <c r="I7" i="62"/>
  <c r="I8" i="62"/>
  <c r="I9" i="62"/>
  <c r="I10" i="62"/>
  <c r="I11" i="62"/>
  <c r="I12" i="62"/>
  <c r="I13" i="62"/>
  <c r="I14" i="62"/>
  <c r="I15" i="62"/>
  <c r="I17" i="62"/>
  <c r="I18" i="62"/>
  <c r="I19" i="62"/>
  <c r="I20" i="62"/>
  <c r="I21" i="62"/>
  <c r="I22" i="62"/>
  <c r="I23" i="62"/>
  <c r="I24" i="62"/>
  <c r="I25" i="62"/>
  <c r="I26" i="62"/>
  <c r="I27" i="62"/>
  <c r="I28" i="62"/>
  <c r="I29" i="62"/>
  <c r="I30" i="62"/>
  <c r="I31" i="62"/>
  <c r="I32" i="62"/>
  <c r="I33" i="62"/>
  <c r="I34" i="62"/>
  <c r="I35" i="62"/>
  <c r="I36" i="62"/>
  <c r="I37" i="62"/>
  <c r="I38" i="62"/>
  <c r="I39" i="62"/>
  <c r="I40" i="62"/>
  <c r="I41" i="62"/>
  <c r="I42" i="62"/>
  <c r="I43" i="62"/>
  <c r="I44" i="62"/>
  <c r="I45" i="62"/>
  <c r="I46" i="62"/>
  <c r="I47" i="62"/>
  <c r="I48" i="62"/>
  <c r="I49" i="62"/>
  <c r="I50" i="62"/>
  <c r="I51" i="62"/>
  <c r="I52" i="62"/>
  <c r="I53" i="62"/>
  <c r="I54" i="62"/>
  <c r="I55" i="62"/>
  <c r="I56" i="62"/>
  <c r="I57" i="62"/>
  <c r="I58" i="62"/>
  <c r="I59" i="62"/>
  <c r="I60" i="62"/>
  <c r="I61" i="62"/>
  <c r="I62" i="62"/>
  <c r="I63" i="62"/>
  <c r="I64" i="62"/>
  <c r="I65" i="62"/>
  <c r="I66" i="62"/>
  <c r="I67" i="62"/>
  <c r="I68" i="62"/>
  <c r="I69" i="62"/>
  <c r="I70" i="62"/>
  <c r="I71" i="62"/>
  <c r="I72" i="62"/>
  <c r="I73" i="62"/>
  <c r="I2" i="36"/>
  <c r="I3" i="58"/>
  <c r="I2" i="61"/>
  <c r="I3" i="61"/>
  <c r="I4" i="61"/>
  <c r="I5" i="61"/>
  <c r="I6" i="61"/>
  <c r="I7" i="61"/>
  <c r="I8" i="61"/>
  <c r="I9" i="61"/>
  <c r="I10" i="61"/>
  <c r="I11" i="61"/>
  <c r="I12" i="61"/>
  <c r="I13" i="61"/>
  <c r="I14" i="61"/>
  <c r="I15" i="61"/>
  <c r="I16" i="61"/>
  <c r="I17" i="61"/>
  <c r="I18" i="61"/>
  <c r="I19" i="61"/>
  <c r="I20" i="61"/>
  <c r="I21" i="61"/>
  <c r="I22" i="61"/>
  <c r="I23" i="61"/>
  <c r="I24" i="61"/>
  <c r="I25" i="61"/>
  <c r="I26" i="61"/>
  <c r="I27" i="61"/>
  <c r="I28" i="61"/>
  <c r="I29" i="61"/>
  <c r="I30" i="61"/>
  <c r="I31" i="61"/>
  <c r="I32" i="61"/>
  <c r="I33" i="61"/>
  <c r="I34" i="61"/>
  <c r="I35" i="61"/>
  <c r="I36" i="61"/>
  <c r="I37" i="61"/>
  <c r="I38" i="61"/>
  <c r="I39" i="61"/>
  <c r="I40" i="61"/>
  <c r="I41" i="61"/>
  <c r="I42" i="61"/>
  <c r="I43" i="61"/>
  <c r="I44" i="61"/>
  <c r="I45" i="61"/>
  <c r="I46" i="61"/>
  <c r="I47" i="61"/>
  <c r="I48" i="61"/>
  <c r="I49" i="61"/>
  <c r="I50" i="61"/>
  <c r="I51" i="61"/>
  <c r="I52" i="61"/>
  <c r="I53" i="61"/>
  <c r="I54" i="61"/>
  <c r="I55" i="61"/>
  <c r="I56" i="61"/>
  <c r="I57" i="61"/>
  <c r="I58" i="61"/>
  <c r="I59" i="61"/>
  <c r="I60" i="61"/>
  <c r="I61" i="61"/>
  <c r="I62" i="61"/>
  <c r="I63" i="61"/>
  <c r="I64" i="61"/>
  <c r="I65" i="61"/>
  <c r="I66" i="61"/>
  <c r="I67" i="61"/>
  <c r="I68" i="61"/>
  <c r="I69" i="61"/>
  <c r="I70" i="61"/>
  <c r="I71" i="61"/>
  <c r="I72" i="61"/>
  <c r="I73" i="61"/>
  <c r="I23" i="60"/>
  <c r="I2" i="60"/>
  <c r="I4" i="60"/>
  <c r="I3" i="60"/>
  <c r="I5" i="60"/>
  <c r="I6" i="60"/>
  <c r="I7" i="60"/>
  <c r="I8" i="60"/>
  <c r="I9" i="60"/>
  <c r="I10" i="60"/>
  <c r="I11" i="60"/>
  <c r="I12" i="60"/>
  <c r="I13" i="60"/>
  <c r="I14" i="60"/>
  <c r="I15" i="60"/>
  <c r="I16" i="60"/>
  <c r="I17" i="60"/>
  <c r="I18" i="60"/>
  <c r="I19" i="60"/>
  <c r="I20" i="60"/>
  <c r="I21" i="60"/>
  <c r="I22" i="60"/>
  <c r="I24" i="60"/>
  <c r="I25" i="60"/>
  <c r="I26" i="60"/>
  <c r="I27" i="60"/>
  <c r="I28" i="60"/>
  <c r="I29" i="60"/>
  <c r="I30" i="60"/>
  <c r="I31" i="60"/>
  <c r="I32" i="60"/>
  <c r="I33" i="60"/>
  <c r="I34" i="60"/>
  <c r="I35" i="60"/>
  <c r="I36" i="60"/>
  <c r="I37" i="60"/>
  <c r="I38" i="60"/>
  <c r="I39" i="60"/>
  <c r="I40" i="60"/>
  <c r="I41" i="60"/>
  <c r="I42" i="60"/>
  <c r="I43" i="60"/>
  <c r="I44" i="60"/>
  <c r="I45" i="60"/>
  <c r="I46" i="60"/>
  <c r="I47" i="60"/>
  <c r="I48" i="60"/>
  <c r="I49" i="60"/>
  <c r="I50" i="60"/>
  <c r="I51" i="60"/>
  <c r="I52" i="60"/>
  <c r="I53" i="60"/>
  <c r="I54" i="60"/>
  <c r="I55" i="60"/>
  <c r="I56" i="60"/>
  <c r="I57" i="60"/>
  <c r="I58" i="60"/>
  <c r="I59" i="60"/>
  <c r="I60" i="60"/>
  <c r="I61" i="60"/>
  <c r="I62" i="60"/>
  <c r="I63" i="60"/>
  <c r="I64" i="60"/>
  <c r="I65" i="60"/>
  <c r="I66" i="60"/>
  <c r="I67" i="60"/>
  <c r="I68" i="60"/>
  <c r="I69" i="60"/>
  <c r="I70" i="60"/>
  <c r="I71" i="60"/>
  <c r="I72" i="60"/>
  <c r="I73" i="60"/>
  <c r="I3" i="59"/>
  <c r="I2" i="59"/>
  <c r="I4" i="59"/>
  <c r="I5" i="59"/>
  <c r="I6" i="59"/>
  <c r="I7" i="59"/>
  <c r="I8" i="59"/>
  <c r="I9" i="59"/>
  <c r="I10" i="59"/>
  <c r="I11" i="59"/>
  <c r="I12" i="59"/>
  <c r="I13" i="59"/>
  <c r="I14" i="59"/>
  <c r="I15" i="59"/>
  <c r="I16" i="59"/>
  <c r="I17" i="59"/>
  <c r="I18" i="59"/>
  <c r="I19" i="59"/>
  <c r="I20" i="59"/>
  <c r="I21" i="59"/>
  <c r="I22" i="59"/>
  <c r="I23" i="59"/>
  <c r="I24" i="59"/>
  <c r="I25" i="59"/>
  <c r="I26" i="59"/>
  <c r="I27" i="59"/>
  <c r="I28" i="59"/>
  <c r="I29" i="59"/>
  <c r="I30" i="59"/>
  <c r="I31" i="59"/>
  <c r="I32" i="59"/>
  <c r="I33" i="59"/>
  <c r="I34" i="59"/>
  <c r="I35" i="59"/>
  <c r="I36" i="59"/>
  <c r="I37" i="59"/>
  <c r="I38" i="59"/>
  <c r="I39" i="59"/>
  <c r="I40" i="59"/>
  <c r="I41" i="59"/>
  <c r="I42" i="59"/>
  <c r="I43" i="59"/>
  <c r="I44" i="59"/>
  <c r="I45" i="59"/>
  <c r="I46" i="59"/>
  <c r="I47" i="59"/>
  <c r="I48" i="59"/>
  <c r="I49" i="59"/>
  <c r="I50" i="59"/>
  <c r="I51" i="59"/>
  <c r="I52" i="59"/>
  <c r="I53" i="59"/>
  <c r="I54" i="59"/>
  <c r="I55" i="59"/>
  <c r="I56" i="59"/>
  <c r="I57" i="59"/>
  <c r="I58" i="59"/>
  <c r="I59" i="59"/>
  <c r="I60" i="59"/>
  <c r="I61" i="59"/>
  <c r="I62" i="59"/>
  <c r="I63" i="59"/>
  <c r="I64" i="59"/>
  <c r="I65" i="59"/>
  <c r="I66" i="59"/>
  <c r="I67" i="59"/>
  <c r="I68" i="59"/>
  <c r="I69" i="59"/>
  <c r="I70" i="59"/>
  <c r="I71" i="59"/>
  <c r="I72" i="59"/>
  <c r="I73" i="59"/>
  <c r="I4" i="58"/>
  <c r="I5" i="58"/>
  <c r="I6" i="58"/>
  <c r="I7" i="58"/>
  <c r="I8" i="58"/>
  <c r="I9" i="58"/>
  <c r="I10" i="58"/>
  <c r="I11" i="58"/>
  <c r="I12" i="58"/>
  <c r="I13" i="58"/>
  <c r="I14" i="58"/>
  <c r="I15" i="58"/>
  <c r="I16" i="58"/>
  <c r="I17" i="58"/>
  <c r="I18" i="58"/>
  <c r="I19" i="58"/>
  <c r="I21" i="58"/>
  <c r="I22" i="58"/>
  <c r="I23" i="58"/>
  <c r="I24" i="58"/>
  <c r="I25" i="58"/>
  <c r="I26" i="58"/>
  <c r="I27" i="58"/>
  <c r="I28" i="58"/>
  <c r="I29" i="58"/>
  <c r="I30" i="58"/>
  <c r="I31" i="58"/>
  <c r="I32" i="58"/>
  <c r="I33" i="58"/>
  <c r="I34" i="58"/>
  <c r="I35" i="58"/>
  <c r="I36" i="58"/>
  <c r="I37" i="58"/>
  <c r="I38" i="58"/>
  <c r="I39" i="58"/>
  <c r="I40" i="58"/>
  <c r="I41" i="58"/>
  <c r="I42" i="58"/>
  <c r="I43" i="58"/>
  <c r="I44" i="58"/>
  <c r="I45" i="58"/>
  <c r="I46" i="58"/>
  <c r="I47" i="58"/>
  <c r="I48" i="58"/>
  <c r="I49" i="58"/>
  <c r="I50" i="58"/>
  <c r="I51" i="58"/>
  <c r="I52" i="58"/>
  <c r="I53" i="58"/>
  <c r="I54" i="58"/>
  <c r="I55" i="58"/>
  <c r="I56" i="58"/>
  <c r="I57" i="58"/>
  <c r="I58" i="58"/>
  <c r="I59" i="58"/>
  <c r="I60" i="58"/>
  <c r="I61" i="58"/>
  <c r="I62" i="58"/>
  <c r="I63" i="58"/>
  <c r="I64" i="58"/>
  <c r="I65" i="58"/>
  <c r="I66" i="58"/>
  <c r="I67" i="58"/>
  <c r="I68" i="58"/>
  <c r="I69" i="58"/>
  <c r="I70" i="58"/>
  <c r="I71" i="58"/>
  <c r="I72" i="58"/>
  <c r="I73" i="58"/>
  <c r="I2" i="55"/>
  <c r="I3" i="55"/>
  <c r="I4" i="55"/>
  <c r="I5" i="55"/>
  <c r="I7" i="55"/>
  <c r="I8" i="55"/>
  <c r="I9" i="55"/>
  <c r="I10" i="55"/>
  <c r="I11" i="55"/>
  <c r="I12" i="55"/>
  <c r="I13" i="55"/>
  <c r="I14" i="55"/>
  <c r="I15" i="55"/>
  <c r="I16" i="55"/>
  <c r="I17" i="55"/>
  <c r="I18" i="55"/>
  <c r="I19" i="55"/>
  <c r="I20" i="55"/>
  <c r="I21" i="55"/>
  <c r="I22" i="55"/>
  <c r="I23" i="55"/>
  <c r="I24" i="55"/>
  <c r="I25" i="55"/>
  <c r="I26" i="55"/>
  <c r="I27" i="55"/>
  <c r="I28" i="55"/>
  <c r="I29" i="55"/>
  <c r="I30" i="55"/>
  <c r="I31" i="55"/>
  <c r="I32" i="55"/>
  <c r="I33" i="55"/>
  <c r="I34" i="55"/>
  <c r="I35" i="55"/>
  <c r="I36" i="55"/>
  <c r="I37" i="55"/>
  <c r="I38" i="55"/>
  <c r="I39" i="55"/>
  <c r="I40" i="55"/>
  <c r="I41" i="55"/>
  <c r="I42" i="55"/>
  <c r="I43" i="55"/>
  <c r="I44" i="55"/>
  <c r="I45" i="55"/>
  <c r="I46" i="55"/>
  <c r="I47" i="55"/>
  <c r="I48" i="55"/>
  <c r="I49" i="55"/>
  <c r="I50" i="55"/>
  <c r="I51" i="55"/>
  <c r="I52" i="55"/>
  <c r="I53" i="55"/>
  <c r="I54" i="55"/>
  <c r="I55" i="55"/>
  <c r="I56" i="55"/>
  <c r="I57" i="55"/>
  <c r="I58" i="55"/>
  <c r="I59" i="55"/>
  <c r="I60" i="55"/>
  <c r="I61" i="55"/>
  <c r="I62" i="55"/>
  <c r="I63" i="55"/>
  <c r="I64" i="55"/>
  <c r="I65" i="55"/>
  <c r="I66" i="55"/>
  <c r="I67" i="55"/>
  <c r="I68" i="55"/>
  <c r="I69" i="55"/>
  <c r="I70" i="55"/>
  <c r="I71" i="55"/>
  <c r="I72" i="55"/>
  <c r="I73" i="55"/>
  <c r="I3" i="54"/>
  <c r="I2" i="54"/>
  <c r="I4" i="54"/>
  <c r="I5" i="54"/>
  <c r="I6" i="54"/>
  <c r="I7" i="54"/>
  <c r="I8" i="54"/>
  <c r="I9" i="54"/>
  <c r="I10" i="54"/>
  <c r="I11" i="54"/>
  <c r="I12" i="54"/>
  <c r="I13" i="54"/>
  <c r="I14" i="54"/>
  <c r="I15" i="54"/>
  <c r="I16" i="54"/>
  <c r="I17" i="54"/>
  <c r="I18" i="54"/>
  <c r="I19" i="54"/>
  <c r="I20" i="54"/>
  <c r="I21" i="54"/>
  <c r="I22" i="54"/>
  <c r="I23" i="54"/>
  <c r="I24" i="54"/>
  <c r="I25" i="54"/>
  <c r="I26" i="54"/>
  <c r="I27" i="54"/>
  <c r="I28" i="54"/>
  <c r="I29" i="54"/>
  <c r="I30" i="54"/>
  <c r="I31" i="54"/>
  <c r="I32" i="54"/>
  <c r="I33" i="54"/>
  <c r="I34" i="54"/>
  <c r="I35" i="54"/>
  <c r="I36" i="54"/>
  <c r="I37" i="54"/>
  <c r="I38" i="54"/>
  <c r="I39" i="54"/>
  <c r="I40" i="54"/>
  <c r="I41" i="54"/>
  <c r="I42" i="54"/>
  <c r="I43" i="54"/>
  <c r="I44" i="54"/>
  <c r="I45" i="54"/>
  <c r="I46" i="54"/>
  <c r="I47" i="54"/>
  <c r="I48" i="54"/>
  <c r="I49" i="54"/>
  <c r="I50" i="54"/>
  <c r="I51" i="54"/>
  <c r="I52" i="54"/>
  <c r="I53" i="54"/>
  <c r="I54" i="54"/>
  <c r="I55" i="54"/>
  <c r="I56" i="54"/>
  <c r="I57" i="54"/>
  <c r="I58" i="54"/>
  <c r="I59" i="54"/>
  <c r="I60" i="54"/>
  <c r="I61" i="54"/>
  <c r="I62" i="54"/>
  <c r="I63" i="54"/>
  <c r="I64" i="54"/>
  <c r="I65" i="54"/>
  <c r="I66" i="54"/>
  <c r="I67" i="54"/>
  <c r="I68" i="54"/>
  <c r="I69" i="54"/>
  <c r="I70" i="54"/>
  <c r="I71" i="54"/>
  <c r="I72" i="54"/>
  <c r="I73" i="54"/>
  <c r="I2" i="53"/>
  <c r="I3" i="53"/>
  <c r="I4" i="53"/>
  <c r="I5" i="53"/>
  <c r="I6" i="53"/>
  <c r="I7" i="53"/>
  <c r="I8" i="53"/>
  <c r="I9" i="53"/>
  <c r="I10" i="53"/>
  <c r="I11" i="53"/>
  <c r="I12" i="53"/>
  <c r="I13" i="53"/>
  <c r="I14" i="53"/>
  <c r="I15" i="53"/>
  <c r="I16" i="53"/>
  <c r="I17" i="53"/>
  <c r="I18" i="53"/>
  <c r="I19" i="53"/>
  <c r="I20" i="53"/>
  <c r="I21" i="53"/>
  <c r="I22" i="53"/>
  <c r="I23" i="53"/>
  <c r="I24" i="53"/>
  <c r="I25" i="53"/>
  <c r="I26" i="53"/>
  <c r="I27" i="53"/>
  <c r="I28" i="53"/>
  <c r="I29" i="53"/>
  <c r="I30" i="53"/>
  <c r="I31" i="53"/>
  <c r="I32" i="53"/>
  <c r="I33" i="53"/>
  <c r="I34" i="53"/>
  <c r="I35" i="53"/>
  <c r="I36" i="53"/>
  <c r="I37" i="53"/>
  <c r="I38" i="53"/>
  <c r="I39" i="53"/>
  <c r="I40" i="53"/>
  <c r="I41" i="53"/>
  <c r="I42" i="53"/>
  <c r="I43" i="53"/>
  <c r="I44" i="53"/>
  <c r="I45" i="53"/>
  <c r="I46" i="53"/>
  <c r="I47" i="53"/>
  <c r="I48" i="53"/>
  <c r="I49" i="53"/>
  <c r="I50" i="53"/>
  <c r="I51" i="53"/>
  <c r="I52" i="53"/>
  <c r="I53" i="53"/>
  <c r="I54" i="53"/>
  <c r="I55" i="53"/>
  <c r="I56" i="53"/>
  <c r="I57" i="53"/>
  <c r="I58" i="53"/>
  <c r="I59" i="53"/>
  <c r="I60" i="53"/>
  <c r="I61" i="53"/>
  <c r="I62" i="53"/>
  <c r="I63" i="53"/>
  <c r="I64" i="53"/>
  <c r="I65" i="53"/>
  <c r="I66" i="53"/>
  <c r="I67" i="53"/>
  <c r="I68" i="53"/>
  <c r="I69" i="53"/>
  <c r="I70" i="53"/>
  <c r="I71" i="53"/>
  <c r="I72" i="53"/>
  <c r="I73" i="53"/>
  <c r="I2" i="52"/>
  <c r="I3" i="52"/>
  <c r="I4" i="52"/>
  <c r="I5" i="52"/>
  <c r="I6" i="52"/>
  <c r="I7" i="52"/>
  <c r="I8" i="52"/>
  <c r="I9" i="52"/>
  <c r="I10" i="52"/>
  <c r="I11" i="52"/>
  <c r="I12" i="52"/>
  <c r="I13" i="52"/>
  <c r="I14" i="52"/>
  <c r="I15" i="52"/>
  <c r="I16" i="52"/>
  <c r="I17" i="52"/>
  <c r="I18" i="52"/>
  <c r="I19" i="52"/>
  <c r="I20" i="52"/>
  <c r="I21" i="52"/>
  <c r="I22" i="52"/>
  <c r="I23" i="52"/>
  <c r="I24" i="52"/>
  <c r="I25" i="52"/>
  <c r="I26" i="52"/>
  <c r="I27" i="52"/>
  <c r="I28" i="52"/>
  <c r="I29" i="52"/>
  <c r="I30" i="52"/>
  <c r="I31" i="52"/>
  <c r="I32" i="52"/>
  <c r="I33" i="52"/>
  <c r="I34" i="52"/>
  <c r="I35" i="52"/>
  <c r="I36" i="52"/>
  <c r="I37" i="52"/>
  <c r="I38" i="52"/>
  <c r="I39" i="52"/>
  <c r="I40" i="52"/>
  <c r="I41" i="52"/>
  <c r="I42" i="52"/>
  <c r="I43" i="52"/>
  <c r="I44" i="52"/>
  <c r="I45" i="52"/>
  <c r="I46" i="52"/>
  <c r="I47" i="52"/>
  <c r="I48" i="52"/>
  <c r="I49" i="52"/>
  <c r="I50" i="52"/>
  <c r="I51" i="52"/>
  <c r="I52" i="52"/>
  <c r="I53" i="52"/>
  <c r="I54" i="52"/>
  <c r="I55" i="52"/>
  <c r="I56" i="52"/>
  <c r="I57" i="52"/>
  <c r="I58" i="52"/>
  <c r="I59" i="52"/>
  <c r="I60" i="52"/>
  <c r="I61" i="52"/>
  <c r="I62" i="52"/>
  <c r="I63" i="52"/>
  <c r="I64" i="52"/>
  <c r="I65" i="52"/>
  <c r="I66" i="52"/>
  <c r="I67" i="52"/>
  <c r="I68" i="52"/>
  <c r="I69" i="52"/>
  <c r="I70" i="52"/>
  <c r="I71" i="52"/>
  <c r="I72" i="52"/>
  <c r="I73" i="52"/>
  <c r="I3" i="51"/>
  <c r="I4" i="51"/>
  <c r="I5" i="51"/>
  <c r="I6" i="51"/>
  <c r="I7" i="51"/>
  <c r="I8" i="51"/>
  <c r="I9" i="51"/>
  <c r="I10" i="51"/>
  <c r="I11" i="51"/>
  <c r="I12" i="51"/>
  <c r="I14" i="51"/>
  <c r="I15" i="51"/>
  <c r="I16" i="51"/>
  <c r="I17" i="51"/>
  <c r="I18" i="51"/>
  <c r="I19" i="51"/>
  <c r="I20" i="51"/>
  <c r="I21" i="51"/>
  <c r="I22" i="51"/>
  <c r="I23" i="51"/>
  <c r="I24" i="51"/>
  <c r="I25" i="51"/>
  <c r="I26" i="51"/>
  <c r="I27" i="51"/>
  <c r="I28" i="51"/>
  <c r="I29" i="51"/>
  <c r="I30" i="51"/>
  <c r="I31" i="51"/>
  <c r="I32" i="51"/>
  <c r="I33" i="51"/>
  <c r="I34" i="51"/>
  <c r="I35" i="51"/>
  <c r="I36" i="51"/>
  <c r="I37" i="51"/>
  <c r="I38" i="51"/>
  <c r="I39" i="51"/>
  <c r="I40" i="51"/>
  <c r="I41" i="51"/>
  <c r="I42" i="51"/>
  <c r="I43" i="51"/>
  <c r="I44" i="51"/>
  <c r="I45" i="51"/>
  <c r="I46" i="51"/>
  <c r="I47" i="51"/>
  <c r="I48" i="51"/>
  <c r="I49" i="51"/>
  <c r="I50" i="51"/>
  <c r="I51" i="51"/>
  <c r="I52" i="51"/>
  <c r="I53" i="51"/>
  <c r="I54" i="51"/>
  <c r="I55" i="51"/>
  <c r="I56" i="51"/>
  <c r="I57" i="51"/>
  <c r="I58" i="51"/>
  <c r="I59" i="51"/>
  <c r="I60" i="51"/>
  <c r="I61" i="51"/>
  <c r="I62" i="51"/>
  <c r="I63" i="51"/>
  <c r="I64" i="51"/>
  <c r="I65" i="51"/>
  <c r="I66" i="51"/>
  <c r="I67" i="51"/>
  <c r="I68" i="51"/>
  <c r="I69" i="51"/>
  <c r="I70" i="51"/>
  <c r="I71" i="51"/>
  <c r="I72" i="51"/>
  <c r="I73" i="51"/>
  <c r="I3" i="50"/>
  <c r="I2" i="50"/>
  <c r="I4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19" i="50"/>
  <c r="I20" i="50"/>
  <c r="I21" i="50"/>
  <c r="I22" i="50"/>
  <c r="I23" i="50"/>
  <c r="I24" i="50"/>
  <c r="I25" i="50"/>
  <c r="I26" i="50"/>
  <c r="I27" i="50"/>
  <c r="I28" i="50"/>
  <c r="I29" i="50"/>
  <c r="I30" i="50"/>
  <c r="I31" i="50"/>
  <c r="I32" i="50"/>
  <c r="I33" i="50"/>
  <c r="I34" i="50"/>
  <c r="I35" i="50"/>
  <c r="I36" i="50"/>
  <c r="I37" i="50"/>
  <c r="I38" i="50"/>
  <c r="I39" i="50"/>
  <c r="I40" i="50"/>
  <c r="I41" i="50"/>
  <c r="I42" i="50"/>
  <c r="I43" i="50"/>
  <c r="I44" i="50"/>
  <c r="I45" i="50"/>
  <c r="I46" i="50"/>
  <c r="I47" i="50"/>
  <c r="I48" i="50"/>
  <c r="I49" i="50"/>
  <c r="I50" i="50"/>
  <c r="I51" i="50"/>
  <c r="I52" i="50"/>
  <c r="I53" i="50"/>
  <c r="I54" i="50"/>
  <c r="I55" i="50"/>
  <c r="I56" i="50"/>
  <c r="I57" i="50"/>
  <c r="I58" i="50"/>
  <c r="I59" i="50"/>
  <c r="I60" i="50"/>
  <c r="I61" i="50"/>
  <c r="I62" i="50"/>
  <c r="I63" i="50"/>
  <c r="I64" i="50"/>
  <c r="I65" i="50"/>
  <c r="I66" i="50"/>
  <c r="I67" i="50"/>
  <c r="I68" i="50"/>
  <c r="I69" i="50"/>
  <c r="I70" i="50"/>
  <c r="I71" i="50"/>
  <c r="I72" i="50"/>
  <c r="I73" i="50"/>
  <c r="I3" i="49"/>
  <c r="I2" i="49"/>
  <c r="I4" i="49"/>
  <c r="I5" i="49"/>
  <c r="I6" i="49"/>
  <c r="I7" i="49"/>
  <c r="I8" i="49"/>
  <c r="I9" i="49"/>
  <c r="I10" i="49"/>
  <c r="I11" i="49"/>
  <c r="I12" i="49"/>
  <c r="I13" i="49"/>
  <c r="I14" i="49"/>
  <c r="I15" i="49"/>
  <c r="I16" i="49"/>
  <c r="I17" i="49"/>
  <c r="I18" i="49"/>
  <c r="I19" i="49"/>
  <c r="I20" i="49"/>
  <c r="I21" i="49"/>
  <c r="I22" i="49"/>
  <c r="I23" i="49"/>
  <c r="I24" i="49"/>
  <c r="I25" i="49"/>
  <c r="I26" i="49"/>
  <c r="I27" i="49"/>
  <c r="I28" i="49"/>
  <c r="I29" i="49"/>
  <c r="I30" i="49"/>
  <c r="I31" i="49"/>
  <c r="I32" i="49"/>
  <c r="I33" i="49"/>
  <c r="I34" i="49"/>
  <c r="I35" i="49"/>
  <c r="I36" i="49"/>
  <c r="I37" i="49"/>
  <c r="I38" i="49"/>
  <c r="I39" i="49"/>
  <c r="I40" i="49"/>
  <c r="I41" i="49"/>
  <c r="I42" i="49"/>
  <c r="I43" i="49"/>
  <c r="I44" i="49"/>
  <c r="I45" i="49"/>
  <c r="I46" i="49"/>
  <c r="I47" i="49"/>
  <c r="I48" i="49"/>
  <c r="I49" i="49"/>
  <c r="I50" i="49"/>
  <c r="I51" i="49"/>
  <c r="I52" i="49"/>
  <c r="I53" i="49"/>
  <c r="I54" i="49"/>
  <c r="I55" i="49"/>
  <c r="I56" i="49"/>
  <c r="I57" i="49"/>
  <c r="I58" i="49"/>
  <c r="I59" i="49"/>
  <c r="I60" i="49"/>
  <c r="I61" i="49"/>
  <c r="I62" i="49"/>
  <c r="I63" i="49"/>
  <c r="I64" i="49"/>
  <c r="I65" i="49"/>
  <c r="I66" i="49"/>
  <c r="I67" i="49"/>
  <c r="I68" i="49"/>
  <c r="I69" i="49"/>
  <c r="I70" i="49"/>
  <c r="I71" i="49"/>
  <c r="I72" i="49"/>
  <c r="I73" i="49"/>
  <c r="I3" i="48"/>
  <c r="I4" i="48"/>
  <c r="I5" i="48"/>
  <c r="I6" i="48"/>
  <c r="I7" i="48"/>
  <c r="I8" i="48"/>
  <c r="I9" i="48"/>
  <c r="I10" i="48"/>
  <c r="I11" i="48"/>
  <c r="I12" i="48"/>
  <c r="I13" i="48"/>
  <c r="I14" i="48"/>
  <c r="I15" i="48"/>
  <c r="I16" i="48"/>
  <c r="I17" i="48"/>
  <c r="I18" i="48"/>
  <c r="I19" i="48"/>
  <c r="I20" i="48"/>
  <c r="I21" i="48"/>
  <c r="I22" i="48"/>
  <c r="I23" i="48"/>
  <c r="I24" i="48"/>
  <c r="I25" i="48"/>
  <c r="I26" i="48"/>
  <c r="I27" i="48"/>
  <c r="I28" i="48"/>
  <c r="I29" i="48"/>
  <c r="I30" i="48"/>
  <c r="I31" i="48"/>
  <c r="I32" i="48"/>
  <c r="I33" i="48"/>
  <c r="I34" i="48"/>
  <c r="I35" i="48"/>
  <c r="I36" i="48"/>
  <c r="I37" i="48"/>
  <c r="I38" i="48"/>
  <c r="I39" i="48"/>
  <c r="I40" i="48"/>
  <c r="I41" i="48"/>
  <c r="I42" i="48"/>
  <c r="I43" i="48"/>
  <c r="I44" i="48"/>
  <c r="I45" i="48"/>
  <c r="I46" i="48"/>
  <c r="I47" i="48"/>
  <c r="I48" i="48"/>
  <c r="I49" i="48"/>
  <c r="I50" i="48"/>
  <c r="I51" i="48"/>
  <c r="I52" i="48"/>
  <c r="I53" i="48"/>
  <c r="I54" i="48"/>
  <c r="I55" i="48"/>
  <c r="I56" i="48"/>
  <c r="I57" i="48"/>
  <c r="I58" i="48"/>
  <c r="I59" i="48"/>
  <c r="I60" i="48"/>
  <c r="I61" i="48"/>
  <c r="I62" i="48"/>
  <c r="I63" i="48"/>
  <c r="I64" i="48"/>
  <c r="I65" i="48"/>
  <c r="I66" i="48"/>
  <c r="I67" i="48"/>
  <c r="I68" i="48"/>
  <c r="I69" i="48"/>
  <c r="I70" i="48"/>
  <c r="I71" i="48"/>
  <c r="I72" i="48"/>
  <c r="I73" i="48"/>
  <c r="I2" i="47"/>
  <c r="I3" i="47"/>
  <c r="I4" i="47"/>
  <c r="I5" i="47"/>
  <c r="I6" i="47"/>
  <c r="I7" i="47"/>
  <c r="I8" i="47"/>
  <c r="I9" i="47"/>
  <c r="I10" i="47"/>
  <c r="I11" i="47"/>
  <c r="I12" i="47"/>
  <c r="I13" i="47"/>
  <c r="I14" i="47"/>
  <c r="I15" i="47"/>
  <c r="I16" i="47"/>
  <c r="I17" i="47"/>
  <c r="I18" i="47"/>
  <c r="I19" i="47"/>
  <c r="I20" i="47"/>
  <c r="I21" i="47"/>
  <c r="I22" i="47"/>
  <c r="I23" i="47"/>
  <c r="I24" i="47"/>
  <c r="I25" i="47"/>
  <c r="I26" i="47"/>
  <c r="I27" i="47"/>
  <c r="I28" i="47"/>
  <c r="I29" i="47"/>
  <c r="I30" i="47"/>
  <c r="I31" i="47"/>
  <c r="I32" i="47"/>
  <c r="I33" i="47"/>
  <c r="I34" i="47"/>
  <c r="I35" i="47"/>
  <c r="I36" i="47"/>
  <c r="I37" i="47"/>
  <c r="I38" i="47"/>
  <c r="I39" i="47"/>
  <c r="I40" i="47"/>
  <c r="I41" i="47"/>
  <c r="I42" i="47"/>
  <c r="I43" i="47"/>
  <c r="I44" i="47"/>
  <c r="I45" i="47"/>
  <c r="I46" i="47"/>
  <c r="I47" i="47"/>
  <c r="I48" i="47"/>
  <c r="I49" i="47"/>
  <c r="I50" i="47"/>
  <c r="I51" i="47"/>
  <c r="I52" i="47"/>
  <c r="I53" i="47"/>
  <c r="I54" i="47"/>
  <c r="I55" i="47"/>
  <c r="I56" i="47"/>
  <c r="I57" i="47"/>
  <c r="I58" i="47"/>
  <c r="I59" i="47"/>
  <c r="I60" i="47"/>
  <c r="I61" i="47"/>
  <c r="I62" i="47"/>
  <c r="I63" i="47"/>
  <c r="I64" i="47"/>
  <c r="I65" i="47"/>
  <c r="I66" i="47"/>
  <c r="I67" i="47"/>
  <c r="I68" i="47"/>
  <c r="I69" i="47"/>
  <c r="I70" i="47"/>
  <c r="I71" i="47"/>
  <c r="I72" i="47"/>
  <c r="I73" i="47"/>
  <c r="I2" i="46"/>
  <c r="I3" i="46"/>
  <c r="I4" i="46"/>
  <c r="I5" i="46"/>
  <c r="I6" i="46"/>
  <c r="I7" i="46"/>
  <c r="I8" i="46"/>
  <c r="I9" i="46"/>
  <c r="I10" i="46"/>
  <c r="I11" i="46"/>
  <c r="I12" i="46"/>
  <c r="I13" i="46"/>
  <c r="I14" i="46"/>
  <c r="I15" i="46"/>
  <c r="I16" i="46"/>
  <c r="I17" i="46"/>
  <c r="I18" i="46"/>
  <c r="I19" i="46"/>
  <c r="I20" i="46"/>
  <c r="I21" i="46"/>
  <c r="I22" i="46"/>
  <c r="I23" i="46"/>
  <c r="I24" i="46"/>
  <c r="I25" i="46"/>
  <c r="I26" i="46"/>
  <c r="I27" i="46"/>
  <c r="I28" i="46"/>
  <c r="I29" i="46"/>
  <c r="I30" i="46"/>
  <c r="I31" i="46"/>
  <c r="I32" i="46"/>
  <c r="I33" i="46"/>
  <c r="I34" i="46"/>
  <c r="I35" i="46"/>
  <c r="I36" i="46"/>
  <c r="I37" i="46"/>
  <c r="I38" i="46"/>
  <c r="I39" i="46"/>
  <c r="I40" i="46"/>
  <c r="I41" i="46"/>
  <c r="I42" i="46"/>
  <c r="I43" i="46"/>
  <c r="I44" i="46"/>
  <c r="I45" i="46"/>
  <c r="I46" i="46"/>
  <c r="I47" i="46"/>
  <c r="I48" i="46"/>
  <c r="I49" i="46"/>
  <c r="I50" i="46"/>
  <c r="I51" i="46"/>
  <c r="I52" i="46"/>
  <c r="I53" i="46"/>
  <c r="I54" i="46"/>
  <c r="I55" i="46"/>
  <c r="I56" i="46"/>
  <c r="I57" i="46"/>
  <c r="I58" i="46"/>
  <c r="I59" i="46"/>
  <c r="I60" i="46"/>
  <c r="I61" i="46"/>
  <c r="I62" i="46"/>
  <c r="I63" i="46"/>
  <c r="I64" i="46"/>
  <c r="I65" i="46"/>
  <c r="I66" i="46"/>
  <c r="I67" i="46"/>
  <c r="I68" i="46"/>
  <c r="I69" i="46"/>
  <c r="I70" i="46"/>
  <c r="I71" i="46"/>
  <c r="I72" i="46"/>
  <c r="I73" i="46"/>
  <c r="I2" i="45"/>
  <c r="I3" i="45"/>
  <c r="I4" i="45"/>
  <c r="I5" i="45"/>
  <c r="I6" i="45"/>
  <c r="I7" i="45"/>
  <c r="I8" i="45"/>
  <c r="I9" i="45"/>
  <c r="I10" i="45"/>
  <c r="I11" i="45"/>
  <c r="I12" i="45"/>
  <c r="I13" i="45"/>
  <c r="I14" i="45"/>
  <c r="I15" i="45"/>
  <c r="I16" i="45"/>
  <c r="I17" i="45"/>
  <c r="I18" i="45"/>
  <c r="I19" i="45"/>
  <c r="I20" i="45"/>
  <c r="I21" i="45"/>
  <c r="I22" i="45"/>
  <c r="I23" i="45"/>
  <c r="I24" i="45"/>
  <c r="I25" i="45"/>
  <c r="I26" i="45"/>
  <c r="I27" i="45"/>
  <c r="I28" i="45"/>
  <c r="I29" i="45"/>
  <c r="I30" i="45"/>
  <c r="I31" i="45"/>
  <c r="I32" i="45"/>
  <c r="I33" i="45"/>
  <c r="I34" i="45"/>
  <c r="I35" i="45"/>
  <c r="I36" i="45"/>
  <c r="I37" i="45"/>
  <c r="I38" i="45"/>
  <c r="I39" i="45"/>
  <c r="I40" i="45"/>
  <c r="I41" i="45"/>
  <c r="I42" i="45"/>
  <c r="I43" i="45"/>
  <c r="I44" i="45"/>
  <c r="I45" i="45"/>
  <c r="I46" i="45"/>
  <c r="I47" i="45"/>
  <c r="I48" i="45"/>
  <c r="I49" i="45"/>
  <c r="I50" i="45"/>
  <c r="I51" i="45"/>
  <c r="I52" i="45"/>
  <c r="I53" i="45"/>
  <c r="I54" i="45"/>
  <c r="I55" i="45"/>
  <c r="I56" i="45"/>
  <c r="I57" i="45"/>
  <c r="I58" i="45"/>
  <c r="I59" i="45"/>
  <c r="I60" i="45"/>
  <c r="I61" i="45"/>
  <c r="I62" i="45"/>
  <c r="I63" i="45"/>
  <c r="I64" i="45"/>
  <c r="I65" i="45"/>
  <c r="I66" i="45"/>
  <c r="I67" i="45"/>
  <c r="I68" i="45"/>
  <c r="I69" i="45"/>
  <c r="I70" i="45"/>
  <c r="I71" i="45"/>
  <c r="I72" i="45"/>
  <c r="I73" i="45"/>
  <c r="I3" i="44"/>
  <c r="I2" i="44"/>
  <c r="I4" i="44"/>
  <c r="I5" i="44"/>
  <c r="I6" i="44"/>
  <c r="I7" i="44"/>
  <c r="I8" i="44"/>
  <c r="I9" i="44"/>
  <c r="I10" i="44"/>
  <c r="I11" i="44"/>
  <c r="I12" i="44"/>
  <c r="I13" i="44"/>
  <c r="I14" i="44"/>
  <c r="I15" i="44"/>
  <c r="I16" i="44"/>
  <c r="I17" i="44"/>
  <c r="I18" i="44"/>
  <c r="I19" i="44"/>
  <c r="I20" i="44"/>
  <c r="I21" i="44"/>
  <c r="I22" i="44"/>
  <c r="I23" i="44"/>
  <c r="I24" i="44"/>
  <c r="I25" i="44"/>
  <c r="I26" i="44"/>
  <c r="I27" i="44"/>
  <c r="I28" i="44"/>
  <c r="I29" i="44"/>
  <c r="I30" i="44"/>
  <c r="I31" i="44"/>
  <c r="I32" i="44"/>
  <c r="I33" i="44"/>
  <c r="I34" i="44"/>
  <c r="I35" i="44"/>
  <c r="I36" i="44"/>
  <c r="I37" i="44"/>
  <c r="I38" i="44"/>
  <c r="I39" i="44"/>
  <c r="I40" i="44"/>
  <c r="I41" i="44"/>
  <c r="I42" i="44"/>
  <c r="I43" i="44"/>
  <c r="I44" i="44"/>
  <c r="I45" i="44"/>
  <c r="I46" i="44"/>
  <c r="I47" i="44"/>
  <c r="I48" i="44"/>
  <c r="I49" i="44"/>
  <c r="I50" i="44"/>
  <c r="I51" i="44"/>
  <c r="I52" i="44"/>
  <c r="I53" i="44"/>
  <c r="I54" i="44"/>
  <c r="I55" i="44"/>
  <c r="I56" i="44"/>
  <c r="I57" i="44"/>
  <c r="I58" i="44"/>
  <c r="I59" i="44"/>
  <c r="I60" i="44"/>
  <c r="I61" i="44"/>
  <c r="I62" i="44"/>
  <c r="I63" i="44"/>
  <c r="I64" i="44"/>
  <c r="I65" i="44"/>
  <c r="I66" i="44"/>
  <c r="I67" i="44"/>
  <c r="I68" i="44"/>
  <c r="I69" i="44"/>
  <c r="I70" i="44"/>
  <c r="I71" i="44"/>
  <c r="I72" i="44"/>
  <c r="I73" i="44"/>
  <c r="I2" i="43"/>
  <c r="I7" i="43"/>
  <c r="I6" i="43"/>
  <c r="I5" i="43"/>
  <c r="I4" i="43"/>
  <c r="I3" i="43"/>
  <c r="I8" i="43"/>
  <c r="I9" i="43"/>
  <c r="I10" i="43"/>
  <c r="I11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37" i="43"/>
  <c r="I38" i="43"/>
  <c r="I39" i="43"/>
  <c r="I40" i="43"/>
  <c r="I41" i="43"/>
  <c r="I42" i="43"/>
  <c r="I43" i="43"/>
  <c r="I44" i="43"/>
  <c r="I45" i="43"/>
  <c r="I46" i="43"/>
  <c r="I47" i="43"/>
  <c r="I48" i="43"/>
  <c r="I49" i="43"/>
  <c r="I50" i="43"/>
  <c r="I51" i="43"/>
  <c r="I52" i="43"/>
  <c r="I53" i="43"/>
  <c r="I54" i="43"/>
  <c r="I55" i="43"/>
  <c r="I56" i="43"/>
  <c r="I57" i="43"/>
  <c r="I58" i="43"/>
  <c r="I59" i="43"/>
  <c r="I60" i="43"/>
  <c r="I61" i="43"/>
  <c r="I62" i="43"/>
  <c r="I63" i="43"/>
  <c r="I64" i="43"/>
  <c r="I65" i="43"/>
  <c r="I66" i="43"/>
  <c r="I67" i="43"/>
  <c r="I68" i="43"/>
  <c r="I69" i="43"/>
  <c r="I70" i="43"/>
  <c r="I71" i="43"/>
  <c r="I72" i="43"/>
  <c r="I73" i="43"/>
  <c r="I3" i="42"/>
  <c r="I2" i="42"/>
  <c r="I4" i="42"/>
  <c r="I5" i="42"/>
  <c r="I6" i="42"/>
  <c r="I7" i="42"/>
  <c r="I8" i="42"/>
  <c r="I9" i="42"/>
  <c r="I10" i="42"/>
  <c r="I11" i="42"/>
  <c r="I12" i="42"/>
  <c r="I13" i="42"/>
  <c r="I14" i="42"/>
  <c r="I15" i="42"/>
  <c r="I16" i="42"/>
  <c r="I17" i="42"/>
  <c r="I18" i="42"/>
  <c r="I19" i="42"/>
  <c r="I20" i="42"/>
  <c r="I21" i="42"/>
  <c r="I22" i="42"/>
  <c r="I23" i="42"/>
  <c r="I24" i="42"/>
  <c r="I25" i="42"/>
  <c r="I26" i="42"/>
  <c r="I27" i="42"/>
  <c r="I28" i="42"/>
  <c r="I29" i="42"/>
  <c r="I30" i="42"/>
  <c r="I31" i="42"/>
  <c r="I32" i="42"/>
  <c r="I33" i="42"/>
  <c r="I34" i="42"/>
  <c r="I35" i="42"/>
  <c r="I36" i="42"/>
  <c r="I37" i="42"/>
  <c r="I38" i="42"/>
  <c r="I39" i="42"/>
  <c r="I40" i="42"/>
  <c r="I41" i="42"/>
  <c r="I42" i="42"/>
  <c r="I43" i="42"/>
  <c r="I44" i="42"/>
  <c r="I45" i="42"/>
  <c r="I46" i="42"/>
  <c r="I47" i="42"/>
  <c r="I48" i="42"/>
  <c r="I49" i="42"/>
  <c r="I50" i="42"/>
  <c r="I51" i="42"/>
  <c r="I52" i="42"/>
  <c r="I53" i="42"/>
  <c r="I54" i="42"/>
  <c r="I55" i="42"/>
  <c r="I56" i="42"/>
  <c r="I57" i="42"/>
  <c r="I58" i="42"/>
  <c r="I59" i="42"/>
  <c r="I60" i="42"/>
  <c r="I61" i="42"/>
  <c r="I62" i="42"/>
  <c r="I63" i="42"/>
  <c r="I64" i="42"/>
  <c r="I65" i="42"/>
  <c r="I66" i="42"/>
  <c r="I67" i="42"/>
  <c r="I68" i="42"/>
  <c r="I69" i="42"/>
  <c r="I70" i="42"/>
  <c r="I71" i="42"/>
  <c r="I72" i="42"/>
  <c r="I73" i="42"/>
  <c r="I3" i="41"/>
  <c r="I4" i="41"/>
  <c r="I5" i="41"/>
  <c r="I6" i="41"/>
  <c r="I7" i="4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3" i="40"/>
  <c r="I3" i="40"/>
  <c r="I4" i="40"/>
  <c r="I5" i="40"/>
  <c r="I6" i="40"/>
  <c r="I7" i="40"/>
  <c r="I8" i="40"/>
  <c r="I9" i="40"/>
  <c r="I10" i="40"/>
  <c r="I11" i="40"/>
  <c r="I12" i="40"/>
  <c r="I13" i="40"/>
  <c r="I14" i="40"/>
  <c r="I15" i="40"/>
  <c r="I16" i="40"/>
  <c r="I17" i="40"/>
  <c r="I18" i="40"/>
  <c r="I19" i="40"/>
  <c r="I20" i="40"/>
  <c r="I21" i="40"/>
  <c r="I22" i="40"/>
  <c r="I23" i="40"/>
  <c r="I24" i="40"/>
  <c r="I25" i="40"/>
  <c r="I26" i="40"/>
  <c r="I27" i="40"/>
  <c r="I28" i="40"/>
  <c r="I29" i="40"/>
  <c r="I30" i="40"/>
  <c r="I31" i="40"/>
  <c r="I32" i="40"/>
  <c r="I33" i="40"/>
  <c r="I34" i="40"/>
  <c r="I35" i="40"/>
  <c r="I36" i="40"/>
  <c r="I37" i="40"/>
  <c r="I38" i="40"/>
  <c r="I39" i="40"/>
  <c r="I40" i="40"/>
  <c r="I41" i="40"/>
  <c r="I42" i="40"/>
  <c r="I43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I65" i="40"/>
  <c r="I66" i="40"/>
  <c r="I67" i="40"/>
  <c r="I68" i="40"/>
  <c r="I69" i="40"/>
  <c r="I70" i="40"/>
  <c r="I71" i="40"/>
  <c r="I72" i="40"/>
  <c r="I2" i="39"/>
  <c r="I4" i="39"/>
  <c r="I3" i="39"/>
  <c r="I73" i="39"/>
  <c r="I72" i="39"/>
  <c r="I71" i="39"/>
  <c r="I70" i="39"/>
  <c r="I69" i="39"/>
  <c r="I68" i="39"/>
  <c r="I67" i="39"/>
  <c r="I66" i="39"/>
  <c r="I65" i="39"/>
  <c r="I64" i="39"/>
  <c r="I63" i="39"/>
  <c r="I62" i="39"/>
  <c r="I61" i="39"/>
  <c r="I60" i="39"/>
  <c r="I59" i="39"/>
  <c r="I58" i="39"/>
  <c r="I57" i="39"/>
  <c r="I56" i="39"/>
  <c r="I55" i="39"/>
  <c r="I54" i="39"/>
  <c r="I53" i="39"/>
  <c r="I52" i="39"/>
  <c r="I51" i="39"/>
  <c r="I50" i="39"/>
  <c r="I49" i="39"/>
  <c r="I48" i="39"/>
  <c r="I47" i="39"/>
  <c r="I46" i="39"/>
  <c r="I45" i="39"/>
  <c r="I44" i="39"/>
  <c r="I43" i="39"/>
  <c r="I42" i="39"/>
  <c r="I41" i="39"/>
  <c r="I40" i="39"/>
  <c r="I39" i="39"/>
  <c r="I38" i="39"/>
  <c r="I37" i="39"/>
  <c r="I36" i="39"/>
  <c r="I35" i="39"/>
  <c r="I34" i="39"/>
  <c r="I33" i="39"/>
  <c r="I32" i="39"/>
  <c r="I31" i="39"/>
  <c r="I30" i="39"/>
  <c r="I29" i="39"/>
  <c r="I28" i="39"/>
  <c r="I27" i="39"/>
  <c r="I26" i="39"/>
  <c r="I25" i="39"/>
  <c r="I24" i="39"/>
  <c r="I23" i="39"/>
  <c r="I22" i="39"/>
  <c r="I21" i="39"/>
  <c r="I20" i="39"/>
  <c r="I19" i="39"/>
  <c r="I18" i="39"/>
  <c r="I17" i="39"/>
  <c r="I16" i="39"/>
  <c r="I15" i="39"/>
  <c r="I14" i="39"/>
  <c r="I13" i="39"/>
  <c r="I12" i="39"/>
  <c r="I11" i="39"/>
  <c r="I10" i="39"/>
  <c r="I9" i="39"/>
  <c r="I8" i="39"/>
  <c r="I7" i="39"/>
  <c r="I6" i="39"/>
  <c r="I5" i="39"/>
  <c r="I2" i="38"/>
  <c r="I3" i="38"/>
  <c r="I4" i="38"/>
  <c r="I73" i="38"/>
  <c r="I72" i="38"/>
  <c r="I71" i="38"/>
  <c r="I70" i="38"/>
  <c r="I69" i="38"/>
  <c r="I68" i="38"/>
  <c r="I67" i="38"/>
  <c r="I66" i="38"/>
  <c r="I65" i="38"/>
  <c r="I64" i="38"/>
  <c r="I63" i="38"/>
  <c r="I62" i="38"/>
  <c r="I61" i="38"/>
  <c r="I60" i="38"/>
  <c r="I59" i="38"/>
  <c r="I58" i="38"/>
  <c r="I57" i="38"/>
  <c r="I56" i="38"/>
  <c r="I55" i="38"/>
  <c r="I54" i="38"/>
  <c r="I53" i="38"/>
  <c r="I52" i="38"/>
  <c r="I51" i="38"/>
  <c r="I50" i="38"/>
  <c r="I49" i="38"/>
  <c r="I48" i="38"/>
  <c r="I47" i="38"/>
  <c r="I46" i="38"/>
  <c r="I45" i="38"/>
  <c r="I44" i="38"/>
  <c r="I43" i="38"/>
  <c r="I42" i="38"/>
  <c r="I41" i="38"/>
  <c r="I40" i="38"/>
  <c r="I39" i="38"/>
  <c r="I38" i="38"/>
  <c r="I37" i="38"/>
  <c r="I36" i="38"/>
  <c r="I35" i="38"/>
  <c r="I34" i="38"/>
  <c r="I33" i="38"/>
  <c r="I32" i="38"/>
  <c r="I31" i="38"/>
  <c r="I30" i="38"/>
  <c r="I29" i="38"/>
  <c r="I28" i="38"/>
  <c r="I27" i="38"/>
  <c r="I26" i="38"/>
  <c r="I25" i="38"/>
  <c r="I24" i="38"/>
  <c r="I23" i="38"/>
  <c r="I22" i="38"/>
  <c r="I21" i="38"/>
  <c r="I20" i="38"/>
  <c r="I19" i="38"/>
  <c r="I18" i="38"/>
  <c r="I17" i="38"/>
  <c r="I16" i="38"/>
  <c r="I15" i="38"/>
  <c r="I14" i="38"/>
  <c r="I13" i="38"/>
  <c r="I12" i="38"/>
  <c r="I11" i="38"/>
  <c r="I10" i="38"/>
  <c r="I9" i="38"/>
  <c r="I8" i="38"/>
  <c r="I7" i="38"/>
  <c r="I6" i="38"/>
  <c r="I5" i="38"/>
  <c r="I73" i="37"/>
  <c r="I72" i="37"/>
  <c r="I71" i="37"/>
  <c r="I70" i="37"/>
  <c r="I69" i="37"/>
  <c r="I68" i="37"/>
  <c r="I67" i="37"/>
  <c r="I66" i="37"/>
  <c r="I65" i="37"/>
  <c r="I64" i="37"/>
  <c r="I63" i="37"/>
  <c r="I62" i="37"/>
  <c r="I61" i="37"/>
  <c r="I60" i="37"/>
  <c r="I59" i="37"/>
  <c r="I58" i="37"/>
  <c r="I57" i="37"/>
  <c r="I56" i="37"/>
  <c r="I55" i="37"/>
  <c r="I54" i="37"/>
  <c r="I53" i="37"/>
  <c r="I52" i="37"/>
  <c r="I51" i="37"/>
  <c r="I50" i="37"/>
  <c r="I49" i="37"/>
  <c r="I48" i="37"/>
  <c r="I47" i="37"/>
  <c r="I46" i="37"/>
  <c r="I45" i="37"/>
  <c r="I44" i="37"/>
  <c r="I43" i="37"/>
  <c r="I42" i="37"/>
  <c r="I41" i="37"/>
  <c r="I40" i="37"/>
  <c r="I39" i="37"/>
  <c r="I38" i="37"/>
  <c r="I37" i="37"/>
  <c r="I36" i="37"/>
  <c r="I35" i="37"/>
  <c r="I34" i="37"/>
  <c r="I33" i="37"/>
  <c r="I32" i="37"/>
  <c r="I31" i="37"/>
  <c r="I30" i="37"/>
  <c r="I29" i="37"/>
  <c r="I28" i="37"/>
  <c r="I27" i="37"/>
  <c r="I26" i="37"/>
  <c r="I25" i="37"/>
  <c r="I24" i="37"/>
  <c r="I23" i="37"/>
  <c r="I22" i="37"/>
  <c r="I21" i="37"/>
  <c r="I20" i="37"/>
  <c r="I19" i="37"/>
  <c r="I18" i="37"/>
  <c r="I17" i="37"/>
  <c r="I16" i="37"/>
  <c r="I15" i="37"/>
  <c r="I14" i="37"/>
  <c r="I13" i="37"/>
  <c r="I12" i="37"/>
  <c r="I11" i="37"/>
  <c r="I10" i="37"/>
  <c r="I9" i="37"/>
  <c r="I8" i="37"/>
  <c r="I7" i="37"/>
  <c r="I6" i="37"/>
  <c r="I5" i="37"/>
  <c r="I4" i="37"/>
  <c r="I3" i="37"/>
  <c r="I10" i="36"/>
  <c r="I8" i="36"/>
  <c r="I73" i="36"/>
  <c r="I72" i="36"/>
  <c r="I71" i="36"/>
  <c r="I70" i="36"/>
  <c r="I69" i="36"/>
  <c r="I68" i="36"/>
  <c r="I67" i="36"/>
  <c r="I66" i="36"/>
  <c r="I65" i="36"/>
  <c r="I64" i="36"/>
  <c r="I63" i="36"/>
  <c r="I62" i="36"/>
  <c r="I61" i="36"/>
  <c r="I60" i="36"/>
  <c r="I59" i="36"/>
  <c r="I58" i="36"/>
  <c r="I57" i="36"/>
  <c r="I56" i="36"/>
  <c r="I55" i="36"/>
  <c r="I54" i="36"/>
  <c r="I53" i="36"/>
  <c r="I52" i="36"/>
  <c r="I51" i="36"/>
  <c r="I50" i="36"/>
  <c r="I49" i="36"/>
  <c r="I48" i="36"/>
  <c r="I47" i="36"/>
  <c r="I46" i="36"/>
  <c r="I45" i="36"/>
  <c r="I44" i="36"/>
  <c r="I43" i="36"/>
  <c r="I42" i="36"/>
  <c r="I41" i="36"/>
  <c r="I40" i="36"/>
  <c r="I39" i="36"/>
  <c r="I38" i="36"/>
  <c r="I37" i="36"/>
  <c r="I36" i="36"/>
  <c r="I35" i="36"/>
  <c r="I34" i="36"/>
  <c r="I33" i="36"/>
  <c r="I32" i="36"/>
  <c r="I31" i="36"/>
  <c r="I30" i="36"/>
  <c r="I29" i="36"/>
  <c r="I28" i="36"/>
  <c r="I27" i="36"/>
  <c r="I26" i="36"/>
  <c r="I25" i="36"/>
  <c r="I24" i="36"/>
  <c r="I23" i="36"/>
  <c r="I22" i="36"/>
  <c r="I21" i="36"/>
  <c r="I20" i="36"/>
  <c r="I19" i="36"/>
  <c r="I18" i="36"/>
  <c r="I17" i="36"/>
  <c r="I16" i="36"/>
  <c r="I15" i="36"/>
  <c r="I14" i="36"/>
  <c r="I13" i="36"/>
  <c r="I12" i="36"/>
  <c r="I11" i="36"/>
  <c r="I9" i="36"/>
  <c r="I7" i="36"/>
  <c r="I6" i="36"/>
  <c r="I5" i="36"/>
  <c r="I4" i="36"/>
  <c r="I3" i="36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K2" i="58" l="1"/>
  <c r="B22" i="4" s="1"/>
  <c r="K2" i="55"/>
  <c r="B21" i="4" s="1"/>
  <c r="K2" i="51"/>
  <c r="B17" i="4" s="1"/>
  <c r="K2" i="48"/>
  <c r="B14" i="4" s="1"/>
  <c r="K2" i="78"/>
  <c r="B39" i="4" s="1"/>
  <c r="K2" i="76"/>
  <c r="B38" i="4" s="1"/>
  <c r="K2" i="75"/>
  <c r="B37" i="4" s="1"/>
  <c r="K2" i="73"/>
  <c r="B36" i="4" s="1"/>
  <c r="K2" i="72"/>
  <c r="B35" i="4" s="1"/>
  <c r="K2" i="71"/>
  <c r="B34" i="4" s="1"/>
  <c r="K2" i="43"/>
  <c r="B9" i="4" s="1"/>
  <c r="K2" i="69"/>
  <c r="B33" i="4" s="1"/>
  <c r="K2" i="67"/>
  <c r="B31" i="4" s="1"/>
  <c r="K2" i="66"/>
  <c r="B30" i="4" s="1"/>
  <c r="K2" i="68"/>
  <c r="B32" i="4" s="1"/>
  <c r="K2" i="41"/>
  <c r="K2" i="64"/>
  <c r="B28" i="4" s="1"/>
  <c r="K2" i="36"/>
  <c r="K2" i="37"/>
  <c r="K2" i="63"/>
  <c r="B27" i="4" s="1"/>
  <c r="K2" i="65"/>
  <c r="B29" i="4" s="1"/>
  <c r="K2" i="62"/>
  <c r="B26" i="4" s="1"/>
  <c r="K2" i="59"/>
  <c r="B23" i="4" s="1"/>
  <c r="K2" i="60"/>
  <c r="B24" i="4" s="1"/>
  <c r="K2" i="38"/>
  <c r="K2" i="61"/>
  <c r="B25" i="4" s="1"/>
  <c r="K2" i="53"/>
  <c r="B19" i="4" s="1"/>
  <c r="K2" i="54"/>
  <c r="B20" i="4" s="1"/>
  <c r="K2" i="50"/>
  <c r="B16" i="4" s="1"/>
  <c r="K2" i="47"/>
  <c r="B13" i="4" s="1"/>
  <c r="K2" i="49"/>
  <c r="B15" i="4" s="1"/>
  <c r="K2" i="44"/>
  <c r="B10" i="4" s="1"/>
  <c r="K2" i="45"/>
  <c r="B11" i="4" s="1"/>
  <c r="K2" i="46"/>
  <c r="B12" i="4" s="1"/>
  <c r="K2" i="52"/>
  <c r="B18" i="4" s="1"/>
  <c r="K2" i="42"/>
  <c r="B8" i="4" s="1"/>
  <c r="K2" i="5"/>
  <c r="K2" i="40" l="1"/>
  <c r="B6" i="4" s="1"/>
  <c r="K2" i="39"/>
  <c r="B5" i="4" s="1"/>
  <c r="B4" i="4"/>
  <c r="B3" i="4"/>
  <c r="B2" i="4"/>
  <c r="B7" i="4" l="1"/>
  <c r="L2" i="3" s="1" a="1"/>
  <c r="L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<sst xmlns="http://schemas.openxmlformats.org/spreadsheetml/2006/main" count="33669" uniqueCount="228">
  <si>
    <t>Hora-Data</t>
  </si>
  <si>
    <t>Mandante</t>
  </si>
  <si>
    <t>Visitante</t>
  </si>
  <si>
    <t>Data</t>
  </si>
  <si>
    <t>Horário</t>
  </si>
  <si>
    <t>11.06. 16:00</t>
  </si>
  <si>
    <t>México</t>
  </si>
  <si>
    <t>África do Sul</t>
  </si>
  <si>
    <t>11/06/2026</t>
  </si>
  <si>
    <t>16:00</t>
  </si>
  <si>
    <t>11.06. 23:00</t>
  </si>
  <si>
    <t>Coreia do Sul</t>
  </si>
  <si>
    <t>Republica Tcheca</t>
  </si>
  <si>
    <t>23:00</t>
  </si>
  <si>
    <t>12.06. 16:00</t>
  </si>
  <si>
    <t>Canadá</t>
  </si>
  <si>
    <t>Bósnia e Herzegovina</t>
  </si>
  <si>
    <t>12/06/2026</t>
  </si>
  <si>
    <t>12.06. 22:00</t>
  </si>
  <si>
    <t>EUA</t>
  </si>
  <si>
    <t>Paraguai</t>
  </si>
  <si>
    <t>22:00</t>
  </si>
  <si>
    <t>13.06. 16:00</t>
  </si>
  <si>
    <t>Catar</t>
  </si>
  <si>
    <t>Suíça</t>
  </si>
  <si>
    <t>13/06/2026</t>
  </si>
  <si>
    <t>13.06. 19:00</t>
  </si>
  <si>
    <t>Brasil</t>
  </si>
  <si>
    <t>Marrocos</t>
  </si>
  <si>
    <t>19:00</t>
  </si>
  <si>
    <t>13.06. 22:00</t>
  </si>
  <si>
    <t>Haiti</t>
  </si>
  <si>
    <t>Escócia</t>
  </si>
  <si>
    <t>14.06. 01:00</t>
  </si>
  <si>
    <t>Austrália</t>
  </si>
  <si>
    <t>Turquia</t>
  </si>
  <si>
    <t>14/06/2026</t>
  </si>
  <si>
    <t>01:00</t>
  </si>
  <si>
    <t>14.06. 14:00</t>
  </si>
  <si>
    <t>Alemanha</t>
  </si>
  <si>
    <t>Curaçau</t>
  </si>
  <si>
    <t>14:00</t>
  </si>
  <si>
    <t>14.06. 17:00</t>
  </si>
  <si>
    <t>Países Baixos</t>
  </si>
  <si>
    <t>Japão</t>
  </si>
  <si>
    <t>17:00</t>
  </si>
  <si>
    <t>14.06. 20:00</t>
  </si>
  <si>
    <t>Costa do Marfim</t>
  </si>
  <si>
    <t>Equador</t>
  </si>
  <si>
    <t>20:00</t>
  </si>
  <si>
    <t>14.06. 23:00</t>
  </si>
  <si>
    <t>Suécia</t>
  </si>
  <si>
    <t>Tunísia</t>
  </si>
  <si>
    <t>15.06. 13:00</t>
  </si>
  <si>
    <t>Espanha</t>
  </si>
  <si>
    <t>Cabo Verde</t>
  </si>
  <si>
    <t>15/06/2026</t>
  </si>
  <si>
    <t>13:00</t>
  </si>
  <si>
    <t>15.06. 16:00</t>
  </si>
  <si>
    <t>Bélgica</t>
  </si>
  <si>
    <t>Egito</t>
  </si>
  <si>
    <t>15.06. 19:00</t>
  </si>
  <si>
    <t>Arábia Saudita</t>
  </si>
  <si>
    <t>Uruguai</t>
  </si>
  <si>
    <t>15.06. 22:00</t>
  </si>
  <si>
    <t>Irã</t>
  </si>
  <si>
    <t>Nova Zelândia</t>
  </si>
  <si>
    <t>16.06. 16:00</t>
  </si>
  <si>
    <t>França</t>
  </si>
  <si>
    <t>Senegal</t>
  </si>
  <si>
    <t>16/06/2026</t>
  </si>
  <si>
    <t>16.06. 19:00</t>
  </si>
  <si>
    <t>Iraque</t>
  </si>
  <si>
    <t>Noruega</t>
  </si>
  <si>
    <t>16.06. 22:00</t>
  </si>
  <si>
    <t>Argentina</t>
  </si>
  <si>
    <t>Argélia</t>
  </si>
  <si>
    <t>17.06. 01:00</t>
  </si>
  <si>
    <t>Áustria</t>
  </si>
  <si>
    <t>Jordânia</t>
  </si>
  <si>
    <t>17/06/2026</t>
  </si>
  <si>
    <t>17.06. 14:00</t>
  </si>
  <si>
    <t>Portugal</t>
  </si>
  <si>
    <t>R. D. Congo</t>
  </si>
  <si>
    <t>17.06. 17:00</t>
  </si>
  <si>
    <t>Inglaterra</t>
  </si>
  <si>
    <t>Croácia</t>
  </si>
  <si>
    <t>17.06. 20:00</t>
  </si>
  <si>
    <t>Gana</t>
  </si>
  <si>
    <t>Panamá</t>
  </si>
  <si>
    <t>17.06. 23:00</t>
  </si>
  <si>
    <t>Uzbequistão</t>
  </si>
  <si>
    <t>Colômbia</t>
  </si>
  <si>
    <t>18.06. 13:00</t>
  </si>
  <si>
    <t>18/06/2026</t>
  </si>
  <si>
    <t>18.06. 16:00</t>
  </si>
  <si>
    <t>18.06. 19:00</t>
  </si>
  <si>
    <t>18.06. 22:00</t>
  </si>
  <si>
    <t>19.06. 16:00</t>
  </si>
  <si>
    <t>19/06/2026</t>
  </si>
  <si>
    <t>19.06. 19:00</t>
  </si>
  <si>
    <t>19.06. 21:30</t>
  </si>
  <si>
    <t>21:30</t>
  </si>
  <si>
    <t>20.06. 00:00</t>
  </si>
  <si>
    <t>20/06/2026</t>
  </si>
  <si>
    <t>00:00</t>
  </si>
  <si>
    <t>20.06. 14:00</t>
  </si>
  <si>
    <t>20.06. 17:00</t>
  </si>
  <si>
    <t>20.06. 21:00</t>
  </si>
  <si>
    <t>21:00</t>
  </si>
  <si>
    <t>21.06. 01:00</t>
  </si>
  <si>
    <t>21/06/2026</t>
  </si>
  <si>
    <t>21.06. 13:00</t>
  </si>
  <si>
    <t>21.06. 16:00</t>
  </si>
  <si>
    <t>21.06. 19:00</t>
  </si>
  <si>
    <t>21.06. 22:00</t>
  </si>
  <si>
    <t>22.06. 14:00</t>
  </si>
  <si>
    <t>22/06/2026</t>
  </si>
  <si>
    <t>22.06. 18:00</t>
  </si>
  <si>
    <t>18:00</t>
  </si>
  <si>
    <t>22.06. 21:00</t>
  </si>
  <si>
    <t>23.06. 00:00</t>
  </si>
  <si>
    <t>23/06/2026</t>
  </si>
  <si>
    <t>23.06. 14:00</t>
  </si>
  <si>
    <t>23.06. 17:00</t>
  </si>
  <si>
    <t>23.06. 20:00</t>
  </si>
  <si>
    <t>23.06. 23:00</t>
  </si>
  <si>
    <t>24.06. 16:00</t>
  </si>
  <si>
    <t>24/06/2026</t>
  </si>
  <si>
    <t>24.06. 19:00</t>
  </si>
  <si>
    <t>24.06. 22:00</t>
  </si>
  <si>
    <t>25.06. 17:00</t>
  </si>
  <si>
    <t>25/06/2026</t>
  </si>
  <si>
    <t>25.06. 20:00</t>
  </si>
  <si>
    <t>25.06. 23:00</t>
  </si>
  <si>
    <t>26.06. 16:00</t>
  </si>
  <si>
    <t>26/06/2026</t>
  </si>
  <si>
    <t>26.06. 21:00</t>
  </si>
  <si>
    <t>27.06. 00:00</t>
  </si>
  <si>
    <t>27/06/2026</t>
  </si>
  <si>
    <t>27.06. 18:00</t>
  </si>
  <si>
    <t>27.06. 20:30</t>
  </si>
  <si>
    <t>20:30</t>
  </si>
  <si>
    <t>27.06. 23:00</t>
  </si>
  <si>
    <t>Placar Mandante</t>
  </si>
  <si>
    <t>x</t>
  </si>
  <si>
    <t>Placar Visitante</t>
  </si>
  <si>
    <t>Pontuação</t>
  </si>
  <si>
    <t>Rafael Cavallari</t>
  </si>
  <si>
    <t>Participante</t>
  </si>
  <si>
    <t>Pontuação Atual</t>
  </si>
  <si>
    <t>Nome Participante (Preencher)</t>
  </si>
  <si>
    <t>00-000-000</t>
  </si>
  <si>
    <t>Pagar Bolão até 09/06/2026</t>
  </si>
  <si>
    <t>Ranking</t>
  </si>
  <si>
    <t>Alessandro Pignata</t>
  </si>
  <si>
    <t>Benjamin Cavallari</t>
  </si>
  <si>
    <t>Bruno Firmino</t>
  </si>
  <si>
    <t>Claudiomar Belao</t>
  </si>
  <si>
    <t>Dirceu Duarte</t>
  </si>
  <si>
    <t>Eduardo Colli</t>
  </si>
  <si>
    <t>Felipe Gambini</t>
  </si>
  <si>
    <t>Gustavo Cavallari</t>
  </si>
  <si>
    <t>Higor Frez</t>
  </si>
  <si>
    <t>Humberto Mozer</t>
  </si>
  <si>
    <t>Julio Lima</t>
  </si>
  <si>
    <t>Lincoln Macena</t>
  </si>
  <si>
    <t>Luan Altimari</t>
  </si>
  <si>
    <t>Ricardo Alonso</t>
  </si>
  <si>
    <t>Rogério Penap</t>
  </si>
  <si>
    <t>Théo Cavallari</t>
  </si>
  <si>
    <t>Wesley Alonso</t>
  </si>
  <si>
    <t>PIX BOLÃO (R$ 30,00)</t>
  </si>
  <si>
    <t>Agnaldo</t>
  </si>
  <si>
    <t>Carlos Malta</t>
  </si>
  <si>
    <t>Carlos (Grilo)</t>
  </si>
  <si>
    <t>Carlos Rocha (Carlinho)</t>
  </si>
  <si>
    <t>Daniel Batista</t>
  </si>
  <si>
    <t>Daniel Marroni</t>
  </si>
  <si>
    <t>Dercio Batista</t>
  </si>
  <si>
    <t>Dionisio Junior</t>
  </si>
  <si>
    <t>Dirce Batista</t>
  </si>
  <si>
    <t>Eneias Aguiar</t>
  </si>
  <si>
    <t>Gabriel Cavallari</t>
  </si>
  <si>
    <t>Gabriel Rubinho</t>
  </si>
  <si>
    <t>Iann Altimari</t>
  </si>
  <si>
    <t>Jean Rocha</t>
  </si>
  <si>
    <t>Jonatas Andrade</t>
  </si>
  <si>
    <t>Junior (Goiaba)</t>
  </si>
  <si>
    <t>Kayky Rocha</t>
  </si>
  <si>
    <t>Lucas Altimari</t>
  </si>
  <si>
    <t>Marcão Penap</t>
  </si>
  <si>
    <t xml:space="preserve">Luis Gustavo Pereira </t>
  </si>
  <si>
    <t>Luis Alfredo</t>
  </si>
  <si>
    <t>Marcos Ferreira</t>
  </si>
  <si>
    <t>Marlon Batista</t>
  </si>
  <si>
    <t>Murilo Ferreira</t>
  </si>
  <si>
    <t>Murilo Rocha</t>
  </si>
  <si>
    <t>Ortega</t>
  </si>
  <si>
    <t xml:space="preserve">Osmar Locatelli </t>
  </si>
  <si>
    <t>Paulinho Altimari</t>
  </si>
  <si>
    <t>Pedro Almeida</t>
  </si>
  <si>
    <t>Rafael de Oliveira</t>
  </si>
  <si>
    <t>Renato Locatelli</t>
  </si>
  <si>
    <t xml:space="preserve">Tadeu </t>
  </si>
  <si>
    <t>Thiago Alberto</t>
  </si>
  <si>
    <t>Thiago de Paula</t>
  </si>
  <si>
    <t>Tiago Marques</t>
  </si>
  <si>
    <t>Willian Mochi</t>
  </si>
  <si>
    <t>Wilson Beninca</t>
  </si>
  <si>
    <t>Fabio Resende</t>
  </si>
  <si>
    <t>Luiz Belmiro</t>
  </si>
  <si>
    <t>Vitor Oliveira</t>
  </si>
  <si>
    <t xml:space="preserve">Rordão </t>
  </si>
  <si>
    <t>Henrique Landin</t>
  </si>
  <si>
    <t>Lucas Mota</t>
  </si>
  <si>
    <t>Allan Ribeiro</t>
  </si>
  <si>
    <t>Breno</t>
  </si>
  <si>
    <t>Danilo Devico</t>
  </si>
  <si>
    <t>Kim</t>
  </si>
  <si>
    <t>Lucas Aguiar</t>
  </si>
  <si>
    <t>Luiz Fernando</t>
  </si>
  <si>
    <t>Paulo Lalli</t>
  </si>
  <si>
    <t>Ronan</t>
  </si>
  <si>
    <t>Raul</t>
  </si>
  <si>
    <t>Mauro Paladino</t>
  </si>
  <si>
    <t>Emerson Batta</t>
  </si>
  <si>
    <t>Caique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</si>
</sst>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R$&quot;\ #,##0.00;[Red]\-&quot;R$&quot;\ #,##0.00"/>
    <numFmt numFmtId="43" formatCode="_-* #,##0.00_-;\-* #,##0.00_-;_-* &quot;-&quot;??_-;_-@_-"/>
    <numFmt numFmtId="164" formatCode="_-* #,##0.00_-;\-* #,##0.00_-;_-* &quot;-&quot;??_-;_-@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4"/>
      <color rgb="FFFF0000"/>
      <name val="Aptos Narrow"/>
      <family val="2"/>
    </font>
    <font>
      <b/>
      <sz val="11"/>
      <color theme="0"/>
      <name val="Aptos Narrow"/>
      <family val="2"/>
    </font>
    <font>
      <sz val="11"/>
      <color rgb="FFFFFFFF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0"/>
      <name val="Arial"/>
      <family val="2"/>
    </font>
    <font>
      <b/>
      <sz val="11"/>
      <color rgb="FF1F4E7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/>
      </patternFill>
    </fill>
    <fill>
      <patternFill patternType="solid">
        <fgColor theme="0"/>
        <bgColor theme="5" tint="0.79998168889431442"/>
      </patternFill>
    </fill>
  </fills>
  <borders count="3">
    <border>
      <left/>
      <right/>
      <top/>
      <bottom/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6" fillId="0" borderId="0"/>
    <xf numFmtId="0" fontId="12" fillId="0" borderId="0"/>
    <xf numFmtId="43" fontId="5" fillId="0" borderId="0"/>
  </cellStyleXfs>
  <cellXfs count="49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3" fillId="4" borderId="0" xfId="0" applyFont="1" applyFill="1" applyAlignment="1">
      <alignment horizontal="center" vertical="center"/>
    </xf>
    <xf numFmtId="8" fontId="3" fillId="4" borderId="0" xfId="0" applyNumberFormat="1" applyFont="1" applyFill="1" applyAlignment="1">
      <alignment horizontal="center" vertical="center"/>
    </xf>
    <xf numFmtId="0" fontId="1" fillId="5" borderId="0" xfId="0" applyFont="1" applyFill="1"/>
    <xf numFmtId="0" fontId="0" fillId="0" borderId="2" xfId="0" applyBorder="1"/>
    <xf numFmtId="0" fontId="0" fillId="6" borderId="2" xfId="0" applyFill="1" applyBorder="1"/>
    <xf numFmtId="0" fontId="4" fillId="0" borderId="0" xfId="1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1" fillId="0" borderId="0" xfId="0" applyFont="1"/>
    <xf numFmtId="43" fontId="0" fillId="0" borderId="0" xfId="2" applyFont="1" applyFill="1" applyBorder="1" applyProtection="1"/>
    <xf numFmtId="0" fontId="3" fillId="0" borderId="0" xfId="0" applyFont="1" applyAlignment="1">
      <alignment horizontal="center" vertical="center"/>
    </xf>
    <xf numFmtId="8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3"/>
    <xf numFmtId="0" fontId="7" fillId="0" borderId="0" xfId="3" applyFont="1"/>
    <xf numFmtId="0" fontId="7" fillId="0" borderId="0" xfId="3" applyFont="1" applyAlignment="1">
      <alignment horizontal="center" vertical="center"/>
    </xf>
    <xf numFmtId="0" fontId="10" fillId="0" borderId="0" xfId="3" applyFont="1"/>
    <xf numFmtId="0" fontId="10" fillId="0" borderId="0" xfId="3" applyFont="1" applyAlignment="1">
      <alignment horizontal="center" vertical="center"/>
    </xf>
    <xf numFmtId="0" fontId="9" fillId="0" borderId="0" xfId="3" applyFont="1"/>
    <xf numFmtId="164" fontId="7" fillId="0" borderId="0" xfId="3" applyNumberFormat="1" applyFont="1"/>
    <xf numFmtId="0" fontId="8" fillId="0" borderId="0" xfId="3" applyFont="1" applyAlignment="1">
      <alignment horizontal="center" vertical="center"/>
    </xf>
    <xf numFmtId="8" fontId="8" fillId="0" borderId="0" xfId="3" applyNumberFormat="1" applyFont="1" applyAlignment="1">
      <alignment horizontal="center" vertical="center"/>
    </xf>
    <xf numFmtId="0" fontId="11" fillId="0" borderId="0" xfId="3" applyFont="1"/>
    <xf numFmtId="0" fontId="12" fillId="0" borderId="0" xfId="4" applyProtection="1">
      <protection locked="0"/>
    </xf>
    <xf numFmtId="0" fontId="12" fillId="0" borderId="0" xfId="4" applyAlignment="1" applyProtection="1">
      <alignment horizontal="center" vertical="center"/>
      <protection locked="0"/>
    </xf>
    <xf numFmtId="0" fontId="12" fillId="0" borderId="0" xfId="4"/>
    <xf numFmtId="0" fontId="12" fillId="0" borderId="0" xfId="4" applyAlignment="1">
      <alignment horizontal="center" vertical="center"/>
    </xf>
    <xf numFmtId="0" fontId="13" fillId="0" borderId="0" xfId="4" applyFont="1" applyProtection="1">
      <protection locked="0"/>
    </xf>
    <xf numFmtId="0" fontId="13" fillId="0" borderId="0" xfId="4" applyFont="1"/>
    <xf numFmtId="43" fontId="12" fillId="0" borderId="0" xfId="4" applyNumberFormat="1"/>
    <xf numFmtId="0" fontId="8" fillId="0" borderId="0" xfId="4" applyFont="1" applyAlignment="1">
      <alignment horizontal="center" vertical="center"/>
    </xf>
    <xf numFmtId="8" fontId="8" fillId="0" borderId="0" xfId="4" applyNumberFormat="1" applyFont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5" fillId="0" borderId="0" xfId="0" applyFont="1" applyProtection="1">
      <protection locked="0"/>
    </xf>
    <xf numFmtId="43" fontId="0" fillId="0" borderId="0" xfId="5" applyFont="1"/>
    <xf numFmtId="0" fontId="0" fillId="7" borderId="0" xfId="0" applyFill="1" applyProtection="1">
      <protection locked="0"/>
    </xf>
    <xf numFmtId="0" fontId="1" fillId="8" borderId="0" xfId="0" applyFont="1" applyFill="1" applyProtection="1">
      <protection locked="0"/>
    </xf>
    <xf numFmtId="0" fontId="0" fillId="9" borderId="0" xfId="0" applyFill="1" applyProtection="1">
      <protection locked="0"/>
    </xf>
    <xf numFmtId="0" fontId="1" fillId="8" borderId="0" xfId="0" applyFont="1" applyFill="1"/>
    <xf numFmtId="43" fontId="0" fillId="9" borderId="0" xfId="2" applyFont="1" applyFill="1" applyBorder="1" applyProtection="1"/>
    <xf numFmtId="0" fontId="3" fillId="7" borderId="0" xfId="0" applyFont="1" applyFill="1" applyAlignment="1">
      <alignment horizontal="center" vertical="center"/>
    </xf>
    <xf numFmtId="8" fontId="3" fillId="7" borderId="0" xfId="0" applyNumberFormat="1" applyFont="1" applyFill="1" applyAlignment="1">
      <alignment horizontal="center" vertical="center"/>
    </xf>
    <xf numFmtId="0" fontId="7" fillId="0" borderId="0" xfId="3" applyFont="1" applyAlignment="1" applyProtection="1">
      <alignment horizontal="center" vertical="center"/>
      <protection locked="0"/>
    </xf>
  </cellXfs>
  <cellStyles count="6">
    <cellStyle name="Hiperlink" xfId="1" builtinId="8"/>
    <cellStyle name="Normal" xfId="0" builtinId="0"/>
    <cellStyle name="Normal 2" xfId="3" xr:uid="{D863A3BF-EE23-4378-B12D-B43A5459933D}"/>
    <cellStyle name="Normal 3" xfId="4" xr:uid="{88CB0290-6777-41A4-81A9-6333EF9E8F20}"/>
    <cellStyle name="Vírgula" xfId="2" builtinId="3"/>
    <cellStyle name="Vírgula 2" xfId="5" xr:uid="{EE3DA103-58A8-476A-A178-998B389BAAB3}"/>
  </cellStyles>
  <dxfs count="781"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protection locked="0" hidden="0"/>
    </dxf>
    <dxf>
      <numFmt numFmtId="0" formatCode="General"/>
      <protection locked="1" hidden="0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/>
      <protection locked="0" hidden="0"/>
    </dxf>
    <dxf>
      <numFmt numFmtId="0" formatCode="General"/>
      <alignment horizontal="center" vertical="center"/>
      <protection locked="0" hidden="0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theme="5"/>
          <bgColor theme="5"/>
        </patternFill>
      </fill>
    </dxf>
  </dxfs>
  <tableStyles count="1" defaultTableStyle="TableStyleMedium2" defaultPivotStyle="PivotStyleLight16">
    <tableStyle name="nome-style" pivot="0" count="3" xr9:uid="{36A2F668-8A24-4599-9129-6B06FEB324B1}">
      <tableStyleElement type="headerRow" dxfId="780"/>
      <tableStyleElement type="firstRowStripe" dxfId="779"/>
      <tableStyleElement type="secondRowStripe" dxfId="77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theme" Target="theme/theme1.xml"/><Relationship Id="rId8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B97D97-5ABE-4DF4-8091-6EC2AD5D0D94}" name="Tabela_3" displayName="Tabela_3" ref="A1:H73" totalsRowShown="0">
  <autoFilter ref="A1:H73" xr:uid="{59B97D97-5ABE-4DF4-8091-6EC2AD5D0D94}"/>
  <tableColumns count="8">
    <tableColumn id="1" xr3:uid="{F799192F-3F4D-471D-AE68-635368C2514A}" name="Hora-Data" dataDxfId="777"/>
    <tableColumn id="4" xr3:uid="{7A90299A-DCBB-42F8-8B42-FA2CA1EE5B5F}" name="Data" dataDxfId="776"/>
    <tableColumn id="5" xr3:uid="{A5ECC6D5-7DC2-4D50-B442-51C92BB029A8}" name="Horário" dataDxfId="775"/>
    <tableColumn id="2" xr3:uid="{6A37E14B-8BFC-4D8D-B903-8634D67CAF62}" name="Mandante" dataDxfId="774"/>
    <tableColumn id="6" xr3:uid="{57D74330-7672-423A-AC39-13D37C5B1F1A}" name="Placar Mandante" dataDxfId="1"/>
    <tableColumn id="7" xr3:uid="{8A6CE70A-94B5-47F1-8951-9DF63906F4C9}" name="x" dataDxfId="773"/>
    <tableColumn id="8" xr3:uid="{44BD0C3A-13ED-4AE3-84E3-E33C6C7C35A5}" name="Placar Visitante" dataDxfId="0"/>
    <tableColumn id="3" xr3:uid="{EFB8D7CA-D52B-4DCC-AB5D-820923CA44FD}" name="Visitante" dataDxfId="77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1E3B1E-0F79-491C-8E26-B5C99CBA7635}" name="Tabela_334" displayName="Tabela_334" ref="A1:H73" totalsRowShown="0">
  <autoFilter ref="A1:H73" xr:uid="{59B97D97-5ABE-4DF4-8091-6EC2AD5D0D94}"/>
  <tableColumns count="8">
    <tableColumn id="1" xr3:uid="{D0D12836-CDE3-44D9-9F9F-7A7B34DCB1C7}" name="Hora-Data" dataDxfId="771"/>
    <tableColumn id="4" xr3:uid="{63F04BB9-8BC6-40B6-9CFB-810062F83409}" name="Data" dataDxfId="770"/>
    <tableColumn id="5" xr3:uid="{3018DED4-58BF-4C56-8182-D368D2880AA8}" name="Horário" dataDxfId="769"/>
    <tableColumn id="2" xr3:uid="{02F9D5AC-7625-41B4-B4E2-BA938B25803D}" name="Mandante" dataDxfId="768"/>
    <tableColumn id="6" xr3:uid="{FD09B6A3-FB0A-4E08-BC6C-B32BF7B68A0C}" name="Placar Mandante" dataDxfId="767"/>
    <tableColumn id="7" xr3:uid="{1791FEF2-940F-4875-BE6F-CD7A808F9F8F}" name="x" dataDxfId="766"/>
    <tableColumn id="8" xr3:uid="{D1152C41-C26C-4366-A727-02770EA60388}" name="Placar Visitante" dataDxfId="765"/>
    <tableColumn id="3" xr3:uid="{4B123F15-98E1-4017-8A38-86174858D73F}" name="Visitante" dataDxfId="764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1DBCD0-A7A7-4CA1-B222-C32452E5A6E0}" name="Tabela_33" displayName="Tabela_33" ref="A1:I73" totalsRowShown="0">
  <autoFilter ref="A1:I73" xr:uid="{59B97D97-5ABE-4DF4-8091-6EC2AD5D0D94}"/>
  <tableColumns count="9">
    <tableColumn id="1" xr3:uid="{502C9FC2-14B0-432A-8C9D-BEEB998E749D}" name="Hora-Data" dataDxfId="763"/>
    <tableColumn id="4" xr3:uid="{D072A061-D5B1-4008-98F2-24D1621AB8DF}" name="Data" dataDxfId="762"/>
    <tableColumn id="5" xr3:uid="{9F84E0FA-DCEA-431A-9705-F74C09DE0E04}" name="Horário" dataDxfId="761"/>
    <tableColumn id="2" xr3:uid="{8B4075EC-B7F5-48E7-8AA7-A81E01E59A10}" name="Mandante" dataDxfId="760"/>
    <tableColumn id="6" xr3:uid="{59EA547C-EE86-4DEF-B970-6E5C31C5C6ED}" name="Placar Mandante" dataDxfId="759"/>
    <tableColumn id="7" xr3:uid="{5517185F-11E2-4AE0-B268-2A102ACAA7C2}" name="x" dataDxfId="758"/>
    <tableColumn id="8" xr3:uid="{14312B24-3A2C-47E2-BACD-81FFD843A876}" name="Placar Visitante" dataDxfId="757"/>
    <tableColumn id="3" xr3:uid="{E1A19959-A27D-49BE-813F-158AA61D5841}" name="Visitante" dataDxfId="756"/>
    <tableColumn id="9" xr3:uid="{49971EA8-3BEA-4167-AB55-ACADF9B217C9}" name="Pontuação" dataDxfId="755">
      <calculatedColumnFormula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CBD5F89-32CF-4499-A8E3-BCF188B14F7B}" name="Tabela_33410" displayName="Tabela_33410" ref="A1:I73" totalsRowShown="0" headerRowDxfId="754" dataDxfId="753">
  <tableColumns count="9">
    <tableColumn id="1" xr3:uid="{41C2B425-D958-48F5-A8F1-09649ADE70E9}" name="Hora-Data" dataDxfId="752"/>
    <tableColumn id="4" xr3:uid="{86D8CFDC-F58C-47B6-B767-E771CE819433}" name="Data" dataDxfId="751"/>
    <tableColumn id="5" xr3:uid="{3A3F1C6D-C2D6-4168-8550-4F117411C32C}" name="Horário" dataDxfId="750"/>
    <tableColumn id="2" xr3:uid="{3AE845E1-F476-4584-B8E1-19705C1C9948}" name="Mandante" dataDxfId="749"/>
    <tableColumn id="6" xr3:uid="{A142002C-01AB-4E0C-8F90-957B687D7D58}" name="Placar Mandante" dataDxfId="748"/>
    <tableColumn id="7" xr3:uid="{B9DE3BDE-DB71-4112-9669-E17276B73660}" name="x" dataDxfId="747"/>
    <tableColumn id="8" xr3:uid="{A88FD3A2-305C-455C-B316-F8545B4B8CD4}" name="Placar Visitante" dataDxfId="746"/>
    <tableColumn id="3" xr3:uid="{00458AEC-53A0-44E2-9D08-71FC46C04F40}" name="Visitante" dataDxfId="745"/>
    <tableColumn id="9" xr3:uid="{F35BB3FA-8C63-4E80-954C-98A2A3025D50}" name="Pontuação" dataDxfId="744">
      <calculatedColumnFormula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C5F4DD3-3BC7-4F73-B1D4-96DF71408561}" name="Tabela_3334" displayName="Tabela_3334" ref="A1:I73" totalsRowShown="0">
  <autoFilter ref="A1:I73" xr:uid="{59B97D97-5ABE-4DF4-8091-6EC2AD5D0D94}"/>
  <tableColumns count="9">
    <tableColumn id="1" xr3:uid="{5054E8F5-F6BE-4C7E-94C2-94CFE6B3FC5C}" name="Hora-Data" dataDxfId="743"/>
    <tableColumn id="4" xr3:uid="{59AFE0C0-EB8D-4BEF-917C-75524890F4D5}" name="Data" dataDxfId="742"/>
    <tableColumn id="5" xr3:uid="{2B26F246-C086-4981-A8F4-8D849340D4CD}" name="Horário" dataDxfId="741"/>
    <tableColumn id="2" xr3:uid="{4185A4DA-594E-42DB-A8E7-A8EE1A3B17E8}" name="Mandante" dataDxfId="740"/>
    <tableColumn id="6" xr3:uid="{FB8A7FBA-47A9-4231-A837-A8845EB213C8}" name="Placar Mandante" dataDxfId="739"/>
    <tableColumn id="7" xr3:uid="{E593B611-8B14-49C2-A1D7-E68B10E764A2}" name="x" dataDxfId="738"/>
    <tableColumn id="8" xr3:uid="{0A1CA03F-B99F-4A4F-8C22-6E8A060DD1C7}" name="Placar Visitante" dataDxfId="737"/>
    <tableColumn id="3" xr3:uid="{4ED760BF-78C0-4FD7-8A08-EFC08E2DC496}" name="Visitante" dataDxfId="736"/>
    <tableColumn id="9" xr3:uid="{C4E91887-E69E-4A32-8F8E-C40C06C23C99}" name="Pontuação" dataDxfId="735">
      <calculatedColumnFormula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27895F6A-B210-4735-850F-1439F8AA482D}" name="Tabela_33471" displayName="Tabela_33471" ref="A1:I73" totalsRowShown="0" headerRowDxfId="734" dataDxfId="733">
  <tableColumns count="9">
    <tableColumn id="1" xr3:uid="{41C2B425-D958-48F5-A8F1-09649ADE70E9}" name="Hora-Data" dataDxfId="732"/>
    <tableColumn id="4" xr3:uid="{86D8CFDC-F58C-47B6-B767-E771CE819433}" name="Data" dataDxfId="731"/>
    <tableColumn id="5" xr3:uid="{3A3F1C6D-C2D6-4168-8550-4F117411C32C}" name="Horário" dataDxfId="730"/>
    <tableColumn id="2" xr3:uid="{3AE845E1-F476-4584-B8E1-19705C1C9948}" name="Mandante" dataDxfId="729"/>
    <tableColumn id="6" xr3:uid="{A142002C-01AB-4E0C-8F90-957B687D7D58}" name="Placar Mandante" dataDxfId="728"/>
    <tableColumn id="7" xr3:uid="{B9DE3BDE-DB71-4112-9669-E17276B73660}" name="x" dataDxfId="727"/>
    <tableColumn id="8" xr3:uid="{A88FD3A2-305C-455C-B316-F8545B4B8CD4}" name="Placar Visitante" dataDxfId="726"/>
    <tableColumn id="3" xr3:uid="{00458AEC-53A0-44E2-9D08-71FC46C04F40}" name="Visitante" dataDxfId="725"/>
    <tableColumn id="9" xr3:uid="{6D708EA9-B206-49DC-922A-9EFFF657C2EB}" name="Pontuação" dataDxfId="724">
      <calculatedColumnFormula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A1FAE5D-5E2C-4119-BCB4-77E44121C820}" name="Tabela_3335" displayName="Tabela_3335" ref="A1:I73" totalsRowShown="0">
  <autoFilter ref="A1:I73" xr:uid="{59B97D97-5ABE-4DF4-8091-6EC2AD5D0D94}"/>
  <tableColumns count="9">
    <tableColumn id="1" xr3:uid="{81715F63-C204-48BA-BD32-BDEF14859EF2}" name="Hora-Data" dataDxfId="723"/>
    <tableColumn id="4" xr3:uid="{B10CC684-814F-4EA3-A90F-BA75CCD8031D}" name="Data" dataDxfId="722"/>
    <tableColumn id="5" xr3:uid="{1571752A-CD0F-4C8C-AF93-007BBC3D289A}" name="Horário" dataDxfId="721"/>
    <tableColumn id="2" xr3:uid="{95C9C7BD-C87F-4E89-B429-30EEE9D0AEF7}" name="Mandante" dataDxfId="720"/>
    <tableColumn id="6" xr3:uid="{AEB751DB-2C0E-4582-B56E-662A6D32E5EF}" name="Placar Mandante" dataDxfId="719"/>
    <tableColumn id="7" xr3:uid="{08815B19-3DD1-46AD-B303-81AAA6738A58}" name="x" dataDxfId="718"/>
    <tableColumn id="8" xr3:uid="{BAB13A67-8281-4B75-BE93-318104B30868}" name="Placar Visitante" dataDxfId="717"/>
    <tableColumn id="3" xr3:uid="{05FD9E91-2B59-4369-8BED-C92451732EB5}" name="Visitante" dataDxfId="716"/>
    <tableColumn id="9" xr3:uid="{60F1209B-81DA-4EEA-B0AD-2B063D3F4F88}" name="Pontuação" dataDxfId="715">
      <calculatedColumnFormula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FACF494A-9B8B-42AF-9E5D-05C7916C7155}" name="Tabela_33472" displayName="Tabela_33472" ref="A1:I73" totalsRowShown="0" headerRowDxfId="714" dataDxfId="713">
  <tableColumns count="9">
    <tableColumn id="1" xr3:uid="{41C2B425-D958-48F5-A8F1-09649ADE70E9}" name="Hora-Data" dataDxfId="712"/>
    <tableColumn id="4" xr3:uid="{86D8CFDC-F58C-47B6-B767-E771CE819433}" name="Data" dataDxfId="711"/>
    <tableColumn id="5" xr3:uid="{3A3F1C6D-C2D6-4168-8550-4F117411C32C}" name="Horário" dataDxfId="710"/>
    <tableColumn id="2" xr3:uid="{3AE845E1-F476-4584-B8E1-19705C1C9948}" name="Mandante" dataDxfId="709"/>
    <tableColumn id="6" xr3:uid="{A142002C-01AB-4E0C-8F90-957B687D7D58}" name="Placar Mandante" dataDxfId="708"/>
    <tableColumn id="7" xr3:uid="{B9DE3BDE-DB71-4112-9669-E17276B73660}" name="x" dataDxfId="707"/>
    <tableColumn id="8" xr3:uid="{A88FD3A2-305C-455C-B316-F8545B4B8CD4}" name="Placar Visitante" dataDxfId="706"/>
    <tableColumn id="3" xr3:uid="{00458AEC-53A0-44E2-9D08-71FC46C04F40}" name="Visitante" dataDxfId="705"/>
    <tableColumn id="9" xr3:uid="{3AF6C9E1-FC9F-48BE-86DF-51912E2A328B}" name="Pontuação" dataDxfId="704">
      <calculatedColumnFormula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6DD8380-3BEE-43B4-A64C-E45825E13676}" name="Tabela_3336" displayName="Tabela_3336" ref="A1:I73" totalsRowShown="0">
  <autoFilter ref="A1:I73" xr:uid="{59B97D97-5ABE-4DF4-8091-6EC2AD5D0D94}"/>
  <tableColumns count="9">
    <tableColumn id="1" xr3:uid="{B530B414-7E78-4748-A24C-7DC2F519C42F}" name="Hora-Data" dataDxfId="703"/>
    <tableColumn id="4" xr3:uid="{CD69C4C9-EAFF-475D-B91D-C4AC3383DA63}" name="Data" dataDxfId="702"/>
    <tableColumn id="5" xr3:uid="{F84B88F5-52FD-4A8B-B3F6-A24B019DD8D6}" name="Horário" dataDxfId="701"/>
    <tableColumn id="2" xr3:uid="{D4F4008C-821F-4EBE-8E2A-2301A53C3D69}" name="Mandante" dataDxfId="700"/>
    <tableColumn id="6" xr3:uid="{F1CF55C1-2AC1-483D-BF1F-1C3F8590C1D9}" name="Placar Mandante" dataDxfId="699"/>
    <tableColumn id="7" xr3:uid="{5852B27D-2C2B-44F5-BA09-346441ACEE7E}" name="x" dataDxfId="698"/>
    <tableColumn id="8" xr3:uid="{7A67F9CE-790C-4E4F-BC17-A5D4F78A3226}" name="Placar Visitante" dataDxfId="697"/>
    <tableColumn id="3" xr3:uid="{F55F059C-AD11-4ABA-A81F-3948BB8C2663}" name="Visitante" dataDxfId="696"/>
    <tableColumn id="9" xr3:uid="{E3825330-F04B-4198-A4B5-2A7D84C8E765}" name="Pontuação" dataDxfId="695">
      <calculatedColumnFormula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C73C533-6140-4F5F-89F5-7C0DFF6AE4ED}" name="Tabela_33431" displayName="Tabela_33431" ref="A1:I73" totalsRowShown="0" headerRowDxfId="694" dataDxfId="693">
  <tableColumns count="9">
    <tableColumn id="1" xr3:uid="{41C2B425-D958-48F5-A8F1-09649ADE70E9}" name="Hora-Data" dataDxfId="692"/>
    <tableColumn id="4" xr3:uid="{86D8CFDC-F58C-47B6-B767-E771CE819433}" name="Data" dataDxfId="691"/>
    <tableColumn id="5" xr3:uid="{3A3F1C6D-C2D6-4168-8550-4F117411C32C}" name="Horário" dataDxfId="690"/>
    <tableColumn id="2" xr3:uid="{3AE845E1-F476-4584-B8E1-19705C1C9948}" name="Mandante" dataDxfId="689"/>
    <tableColumn id="6" xr3:uid="{A142002C-01AB-4E0C-8F90-957B687D7D58}" name="Placar Mandante" dataDxfId="688"/>
    <tableColumn id="7" xr3:uid="{B9DE3BDE-DB71-4112-9669-E17276B73660}" name="x" dataDxfId="687"/>
    <tableColumn id="8" xr3:uid="{A88FD3A2-305C-455C-B316-F8545B4B8CD4}" name="Placar Visitante" dataDxfId="686"/>
    <tableColumn id="3" xr3:uid="{00458AEC-53A0-44E2-9D08-71FC46C04F40}" name="Visitante" dataDxfId="685"/>
    <tableColumn id="9" xr3:uid="{103E9655-0D97-4650-A4EA-5CEC0F473289}" name="Pontuação" dataDxfId="684">
      <calculatedColumnFormula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1BE3FD0-4C73-45D9-BE01-FFF57F037938}" name="Table_1" displayName="Table_1" ref="A1:I73">
  <tableColumns count="9">
    <tableColumn id="1" xr3:uid="{00000000-0010-0000-0000-000001000000}" name="Hora-Data"/>
    <tableColumn id="2" xr3:uid="{00000000-0010-0000-0000-000002000000}" name="Data"/>
    <tableColumn id="3" xr3:uid="{00000000-0010-0000-0000-000003000000}" name="Horário"/>
    <tableColumn id="4" xr3:uid="{00000000-0010-0000-0000-000004000000}" name="Mandante"/>
    <tableColumn id="5" xr3:uid="{00000000-0010-0000-0000-000005000000}" name="Placar Mandante" dataDxfId="683"/>
    <tableColumn id="6" xr3:uid="{00000000-0010-0000-0000-000006000000}" name="x"/>
    <tableColumn id="7" xr3:uid="{00000000-0010-0000-0000-000007000000}" name="Placar Visitante" dataDxfId="682"/>
    <tableColumn id="8" xr3:uid="{00000000-0010-0000-0000-000008000000}" name="Visitante"/>
    <tableColumn id="9" xr3:uid="{2CF1FA03-70C7-4B13-B260-DD3B3D9E5487}" name="Pontuação" dataDxfId="681">
      <calculatedColumnFormula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calculatedColumnFormula>
    </tableColumn>
  </tableColumns>
  <tableStyleInfo name="nome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1472899-AA4E-41B4-94C6-8996EBD10416}" name="Tabela_33412" displayName="Tabela_33412" ref="A1:I73" totalsRowShown="0" headerRowDxfId="680" dataDxfId="679">
  <tableColumns count="9">
    <tableColumn id="1" xr3:uid="{41C2B425-D958-48F5-A8F1-09649ADE70E9}" name="Hora-Data" dataDxfId="678"/>
    <tableColumn id="4" xr3:uid="{86D8CFDC-F58C-47B6-B767-E771CE819433}" name="Data" dataDxfId="677"/>
    <tableColumn id="5" xr3:uid="{3A3F1C6D-C2D6-4168-8550-4F117411C32C}" name="Horário" dataDxfId="676"/>
    <tableColumn id="2" xr3:uid="{3AE845E1-F476-4584-B8E1-19705C1C9948}" name="Mandante" dataDxfId="675"/>
    <tableColumn id="6" xr3:uid="{A142002C-01AB-4E0C-8F90-957B687D7D58}" name="Placar Mandante" dataDxfId="674"/>
    <tableColumn id="7" xr3:uid="{B9DE3BDE-DB71-4112-9669-E17276B73660}" name="x" dataDxfId="673"/>
    <tableColumn id="8" xr3:uid="{A88FD3A2-305C-455C-B316-F8545B4B8CD4}" name="Placar Visitante" dataDxfId="672"/>
    <tableColumn id="3" xr3:uid="{00458AEC-53A0-44E2-9D08-71FC46C04F40}" name="Visitante" dataDxfId="671"/>
    <tableColumn id="9" xr3:uid="{7DAFB4F6-0648-4544-B36C-0439EB1BC790}" name="Pontuação" dataDxfId="670">
      <calculatedColumnFormula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6227C9C-90E5-4A6D-8A1C-DF9AE61361AB}" name="Tabela_33413" displayName="Tabela_33413" ref="A1:I73" totalsRowShown="0" headerRowDxfId="669" dataDxfId="668">
  <tableColumns count="9">
    <tableColumn id="1" xr3:uid="{41C2B425-D958-48F5-A8F1-09649ADE70E9}" name="Hora-Data" dataDxfId="667"/>
    <tableColumn id="4" xr3:uid="{86D8CFDC-F58C-47B6-B767-E771CE819433}" name="Data" dataDxfId="666"/>
    <tableColumn id="5" xr3:uid="{3A3F1C6D-C2D6-4168-8550-4F117411C32C}" name="Horário" dataDxfId="665"/>
    <tableColumn id="2" xr3:uid="{3AE845E1-F476-4584-B8E1-19705C1C9948}" name="Mandante" dataDxfId="664"/>
    <tableColumn id="6" xr3:uid="{A142002C-01AB-4E0C-8F90-957B687D7D58}" name="Placar Mandante" dataDxfId="663"/>
    <tableColumn id="7" xr3:uid="{B9DE3BDE-DB71-4112-9669-E17276B73660}" name="x" dataDxfId="662"/>
    <tableColumn id="8" xr3:uid="{A88FD3A2-305C-455C-B316-F8545B4B8CD4}" name="Placar Visitante" dataDxfId="661"/>
    <tableColumn id="3" xr3:uid="{00458AEC-53A0-44E2-9D08-71FC46C04F40}" name="Visitante" dataDxfId="660"/>
    <tableColumn id="9" xr3:uid="{CEA603AB-0361-4EF8-B7AC-212A71025127}" name="Pontuação" dataDxfId="659">
      <calculatedColumnFormula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6303B8F-0030-4CF7-8626-F1E23F7F617E}" name="Tabela_3337" displayName="Tabela_3337" ref="A1:I73" totalsRowShown="0">
  <autoFilter ref="A1:I73" xr:uid="{59B97D97-5ABE-4DF4-8091-6EC2AD5D0D94}"/>
  <tableColumns count="9">
    <tableColumn id="1" xr3:uid="{3B8009EB-63A1-429F-AC26-58E2C1C3248C}" name="Hora-Data" dataDxfId="658"/>
    <tableColumn id="4" xr3:uid="{00CFEFDD-60DA-43EA-9D50-D76A178CFC13}" name="Data" dataDxfId="657"/>
    <tableColumn id="5" xr3:uid="{699B8E97-8E86-4E09-9D8F-78537E8BB091}" name="Horário" dataDxfId="656"/>
    <tableColumn id="2" xr3:uid="{5DC77247-8A38-481A-8E1A-B95D5B3842E9}" name="Mandante" dataDxfId="655"/>
    <tableColumn id="6" xr3:uid="{6B029F2C-F2A5-434B-8BE4-03F8CF5336A6}" name="Placar Mandante" dataDxfId="654"/>
    <tableColumn id="7" xr3:uid="{C00B275C-04DD-4713-A962-70E2232D44D4}" name="x" dataDxfId="653"/>
    <tableColumn id="8" xr3:uid="{B1C8880C-925B-4470-97A9-5447DD683719}" name="Placar Visitante" dataDxfId="652"/>
    <tableColumn id="3" xr3:uid="{AF954939-D102-4B80-B5EA-F72C14810143}" name="Visitante" dataDxfId="651"/>
    <tableColumn id="9" xr3:uid="{F1C741D5-4151-4917-9530-CE9B211ACE41}" name="Pontuação" dataDxfId="650">
      <calculatedColumnFormula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2EA16D4-15D7-416B-8287-45460A5FC883}" name="Tabela_33414" displayName="Tabela_33414" ref="A1:I73" totalsRowShown="0" headerRowDxfId="649" dataDxfId="648">
  <tableColumns count="9">
    <tableColumn id="1" xr3:uid="{41C2B425-D958-48F5-A8F1-09649ADE70E9}" name="Hora-Data" dataDxfId="647"/>
    <tableColumn id="4" xr3:uid="{86D8CFDC-F58C-47B6-B767-E771CE819433}" name="Data" dataDxfId="646"/>
    <tableColumn id="5" xr3:uid="{3A3F1C6D-C2D6-4168-8550-4F117411C32C}" name="Horário" dataDxfId="645"/>
    <tableColumn id="2" xr3:uid="{3AE845E1-F476-4584-B8E1-19705C1C9948}" name="Mandante" dataDxfId="644"/>
    <tableColumn id="6" xr3:uid="{A142002C-01AB-4E0C-8F90-957B687D7D58}" name="Placar Mandante" dataDxfId="643"/>
    <tableColumn id="7" xr3:uid="{B9DE3BDE-DB71-4112-9669-E17276B73660}" name="x" dataDxfId="642"/>
    <tableColumn id="8" xr3:uid="{A88FD3A2-305C-455C-B316-F8545B4B8CD4}" name="Placar Visitante" dataDxfId="641"/>
    <tableColumn id="3" xr3:uid="{00458AEC-53A0-44E2-9D08-71FC46C04F40}" name="Visitante" dataDxfId="640"/>
    <tableColumn id="9" xr3:uid="{F1B4B531-C26B-4F7D-BC8B-8B7301794E34}" name="Pontuação" dataDxfId="639">
      <calculatedColumnFormula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02E61B2-55A2-497E-A7E6-8E98D1D7D7C2}" name="Tabela_33415" displayName="Tabela_33415" ref="A1:I73" totalsRowShown="0" headerRowDxfId="638" dataDxfId="637">
  <tableColumns count="9">
    <tableColumn id="1" xr3:uid="{41C2B425-D958-48F5-A8F1-09649ADE70E9}" name="Hora-Data" dataDxfId="636"/>
    <tableColumn id="4" xr3:uid="{86D8CFDC-F58C-47B6-B767-E771CE819433}" name="Data" dataDxfId="635"/>
    <tableColumn id="5" xr3:uid="{3A3F1C6D-C2D6-4168-8550-4F117411C32C}" name="Horário" dataDxfId="634"/>
    <tableColumn id="2" xr3:uid="{3AE845E1-F476-4584-B8E1-19705C1C9948}" name="Mandante" dataDxfId="633"/>
    <tableColumn id="6" xr3:uid="{A142002C-01AB-4E0C-8F90-957B687D7D58}" name="Placar Mandante" dataDxfId="632"/>
    <tableColumn id="7" xr3:uid="{B9DE3BDE-DB71-4112-9669-E17276B73660}" name="x" dataDxfId="631"/>
    <tableColumn id="8" xr3:uid="{A88FD3A2-305C-455C-B316-F8545B4B8CD4}" name="Placar Visitante" dataDxfId="630"/>
    <tableColumn id="3" xr3:uid="{00458AEC-53A0-44E2-9D08-71FC46C04F40}" name="Visitante" dataDxfId="629"/>
    <tableColumn id="9" xr3:uid="{F0BACBFD-4F0A-40F0-B528-1743F8B690FC}" name="Pontuação" dataDxfId="628">
      <calculatedColumnFormula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ABDF117C-DFC8-4AFE-BD62-D66B4901AB6B}" name="Tabela_33473" displayName="Tabela_33473" ref="A1:I73" totalsRowShown="0" headerRowDxfId="627" dataDxfId="626">
  <tableColumns count="9">
    <tableColumn id="1" xr3:uid="{41C2B425-D958-48F5-A8F1-09649ADE70E9}" name="Hora-Data" dataDxfId="625"/>
    <tableColumn id="4" xr3:uid="{86D8CFDC-F58C-47B6-B767-E771CE819433}" name="Data" dataDxfId="624"/>
    <tableColumn id="5" xr3:uid="{3A3F1C6D-C2D6-4168-8550-4F117411C32C}" name="Horário" dataDxfId="623"/>
    <tableColumn id="2" xr3:uid="{3AE845E1-F476-4584-B8E1-19705C1C9948}" name="Mandante" dataDxfId="622"/>
    <tableColumn id="6" xr3:uid="{A142002C-01AB-4E0C-8F90-957B687D7D58}" name="Placar Mandante" dataDxfId="621"/>
    <tableColumn id="7" xr3:uid="{B9DE3BDE-DB71-4112-9669-E17276B73660}" name="x" dataDxfId="620"/>
    <tableColumn id="8" xr3:uid="{A88FD3A2-305C-455C-B316-F8545B4B8CD4}" name="Placar Visitante" dataDxfId="619"/>
    <tableColumn id="3" xr3:uid="{00458AEC-53A0-44E2-9D08-71FC46C04F40}" name="Visitante" dataDxfId="618"/>
    <tableColumn id="9" xr3:uid="{0CE21B59-72EF-4199-B2A0-AE4DAEB2B36C}" name="Pontuação" dataDxfId="617">
      <calculatedColumnFormula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8285039-737F-4122-8C30-168980E9867E}" name="Tabela_33416" displayName="Tabela_33416" ref="A1:I73" totalsRowShown="0" headerRowDxfId="616" dataDxfId="615">
  <tableColumns count="9">
    <tableColumn id="1" xr3:uid="{41C2B425-D958-48F5-A8F1-09649ADE70E9}" name="Hora-Data" dataDxfId="614"/>
    <tableColumn id="4" xr3:uid="{86D8CFDC-F58C-47B6-B767-E771CE819433}" name="Data" dataDxfId="613"/>
    <tableColumn id="5" xr3:uid="{3A3F1C6D-C2D6-4168-8550-4F117411C32C}" name="Horário" dataDxfId="612"/>
    <tableColumn id="2" xr3:uid="{3AE845E1-F476-4584-B8E1-19705C1C9948}" name="Mandante" dataDxfId="611"/>
    <tableColumn id="6" xr3:uid="{A142002C-01AB-4E0C-8F90-957B687D7D58}" name="Placar Mandante" dataDxfId="610"/>
    <tableColumn id="7" xr3:uid="{B9DE3BDE-DB71-4112-9669-E17276B73660}" name="x" dataDxfId="609"/>
    <tableColumn id="8" xr3:uid="{A88FD3A2-305C-455C-B316-F8545B4B8CD4}" name="Placar Visitante" dataDxfId="608"/>
    <tableColumn id="3" xr3:uid="{00458AEC-53A0-44E2-9D08-71FC46C04F40}" name="Visitante" dataDxfId="607"/>
    <tableColumn id="9" xr3:uid="{2F628C78-AF5D-4C21-9FCE-C818598144DA}" name="Pontuação" dataDxfId="606">
      <calculatedColumnFormula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75CA7C2-B85A-4D10-814D-CA2B59C7249A}" name="Tabela_33417" displayName="Tabela_33417" ref="A1:I73" totalsRowShown="0" headerRowDxfId="605" dataDxfId="604">
  <tableColumns count="9">
    <tableColumn id="1" xr3:uid="{41C2B425-D958-48F5-A8F1-09649ADE70E9}" name="Hora-Data" dataDxfId="603"/>
    <tableColumn id="4" xr3:uid="{86D8CFDC-F58C-47B6-B767-E771CE819433}" name="Data" dataDxfId="602"/>
    <tableColumn id="5" xr3:uid="{3A3F1C6D-C2D6-4168-8550-4F117411C32C}" name="Horário" dataDxfId="601"/>
    <tableColumn id="2" xr3:uid="{3AE845E1-F476-4584-B8E1-19705C1C9948}" name="Mandante" dataDxfId="600"/>
    <tableColumn id="6" xr3:uid="{A142002C-01AB-4E0C-8F90-957B687D7D58}" name="Placar Mandante" dataDxfId="599"/>
    <tableColumn id="7" xr3:uid="{B9DE3BDE-DB71-4112-9669-E17276B73660}" name="x" dataDxfId="598"/>
    <tableColumn id="8" xr3:uid="{A88FD3A2-305C-455C-B316-F8545B4B8CD4}" name="Placar Visitante" dataDxfId="597"/>
    <tableColumn id="3" xr3:uid="{00458AEC-53A0-44E2-9D08-71FC46C04F40}" name="Visitante" dataDxfId="596"/>
    <tableColumn id="9" xr3:uid="{C7A641B4-CEA1-4960-9229-E135B039C7C3}" name="Pontuação" dataDxfId="595">
      <calculatedColumnFormula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D04B941-249B-4B97-893C-386153E642B7}" name="Tabela_33418" displayName="Tabela_33418" ref="A1:I73" totalsRowShown="0" headerRowDxfId="594" dataDxfId="593">
  <tableColumns count="9">
    <tableColumn id="1" xr3:uid="{41C2B425-D958-48F5-A8F1-09649ADE70E9}" name="Hora-Data" dataDxfId="592"/>
    <tableColumn id="4" xr3:uid="{86D8CFDC-F58C-47B6-B767-E771CE819433}" name="Data" dataDxfId="591"/>
    <tableColumn id="5" xr3:uid="{3A3F1C6D-C2D6-4168-8550-4F117411C32C}" name="Horário" dataDxfId="590"/>
    <tableColumn id="2" xr3:uid="{3AE845E1-F476-4584-B8E1-19705C1C9948}" name="Mandante" dataDxfId="589"/>
    <tableColumn id="6" xr3:uid="{A142002C-01AB-4E0C-8F90-957B687D7D58}" name="Placar Mandante" dataDxfId="588"/>
    <tableColumn id="7" xr3:uid="{B9DE3BDE-DB71-4112-9669-E17276B73660}" name="x" dataDxfId="587"/>
    <tableColumn id="8" xr3:uid="{A88FD3A2-305C-455C-B316-F8545B4B8CD4}" name="Placar Visitante" dataDxfId="586"/>
    <tableColumn id="3" xr3:uid="{00458AEC-53A0-44E2-9D08-71FC46C04F40}" name="Visitante" dataDxfId="585"/>
    <tableColumn id="9" xr3:uid="{5915BB72-EBC2-4F5C-AA5A-D1B9C94147DB}" name="Pontuação" dataDxfId="584">
      <calculatedColumnFormula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182660-1AA5-46ED-8D40-2E3FFBE5AB3A}" name="Tabela_3338" displayName="Tabela_3338" ref="A1:I73" totalsRowShown="0">
  <autoFilter ref="A1:I73" xr:uid="{59B97D97-5ABE-4DF4-8091-6EC2AD5D0D94}"/>
  <tableColumns count="9">
    <tableColumn id="1" xr3:uid="{9268F8DB-AE79-485F-B404-A33BC195E847}" name="Hora-Data" dataDxfId="583"/>
    <tableColumn id="4" xr3:uid="{9AC9278A-C23B-4E71-88C0-072FA691819A}" name="Data" dataDxfId="582"/>
    <tableColumn id="5" xr3:uid="{D7E24F55-C132-44CB-944D-8B1E98724A97}" name="Horário" dataDxfId="581"/>
    <tableColumn id="2" xr3:uid="{41D86ECB-27E7-47A2-A845-F01D9F0F3765}" name="Mandante" dataDxfId="580"/>
    <tableColumn id="6" xr3:uid="{1B0202EC-A1AE-4BAC-BDB1-614A1DE94F9A}" name="Placar Mandante" dataDxfId="579"/>
    <tableColumn id="7" xr3:uid="{B4FFC6C2-415B-4DCE-ADA3-1E0ADF337A00}" name="x" dataDxfId="578"/>
    <tableColumn id="8" xr3:uid="{23C32E02-5483-496F-99D7-B319FD36D5AE}" name="Placar Visitante" dataDxfId="577"/>
    <tableColumn id="3" xr3:uid="{B1F05477-F06D-43EE-A69C-8899B12B0980}" name="Visitante" dataDxfId="576"/>
    <tableColumn id="9" xr3:uid="{60A18962-E1F4-4650-9E49-C291E6726CEE}" name="Pontuação" dataDxfId="575">
      <calculatedColumnFormula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BCD9B55-79AE-43BF-918A-EBABA721D976}" name="Tabela_3339" displayName="Tabela_3339" ref="A1:I73" totalsRowShown="0">
  <autoFilter ref="A1:I73" xr:uid="{59B97D97-5ABE-4DF4-8091-6EC2AD5D0D94}"/>
  <tableColumns count="9">
    <tableColumn id="1" xr3:uid="{AFEA8504-B7B4-4855-AD73-9775B9057562}" name="Hora-Data" dataDxfId="574"/>
    <tableColumn id="4" xr3:uid="{070B77AF-91C4-49C8-8C0D-1E80C9F32295}" name="Data" dataDxfId="573"/>
    <tableColumn id="5" xr3:uid="{FD3D12DD-0651-4F09-99F9-DC672C6E0BD4}" name="Horário" dataDxfId="572"/>
    <tableColumn id="2" xr3:uid="{379204F2-A9CA-42CF-8305-1A8D26C79EEE}" name="Mandante" dataDxfId="571"/>
    <tableColumn id="6" xr3:uid="{A211D1AD-DDC6-4FE6-9EAC-7313C429AAD8}" name="Placar Mandante" dataDxfId="570"/>
    <tableColumn id="7" xr3:uid="{86434CDC-2ED8-44AD-938D-D44944B04F7B}" name="x" dataDxfId="569"/>
    <tableColumn id="8" xr3:uid="{59653F0D-7038-4242-8B77-232EBE2CAA7B}" name="Placar Visitante" dataDxfId="568"/>
    <tableColumn id="3" xr3:uid="{C7294C43-5480-43DD-AE04-61DCE4CE4FEC}" name="Visitante" dataDxfId="567"/>
    <tableColumn id="9" xr3:uid="{A2474593-CAF7-489D-B06D-53E04490ADDC}" name="Pontuação" dataDxfId="566">
      <calculatedColumnFormula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EEDFE0B-D3F1-473C-B482-A34F0070CF87}" name="Tabela_33429" displayName="Tabela_33429" ref="A1:I73" totalsRowShown="0" headerRowDxfId="565" dataDxfId="564">
  <tableColumns count="9">
    <tableColumn id="1" xr3:uid="{41C2B425-D958-48F5-A8F1-09649ADE70E9}" name="Hora-Data" dataDxfId="563"/>
    <tableColumn id="4" xr3:uid="{86D8CFDC-F58C-47B6-B767-E771CE819433}" name="Data" dataDxfId="562"/>
    <tableColumn id="5" xr3:uid="{3A3F1C6D-C2D6-4168-8550-4F117411C32C}" name="Horário" dataDxfId="561"/>
    <tableColumn id="2" xr3:uid="{3AE845E1-F476-4584-B8E1-19705C1C9948}" name="Mandante" dataDxfId="560"/>
    <tableColumn id="6" xr3:uid="{A142002C-01AB-4E0C-8F90-957B687D7D58}" name="Placar Mandante" dataDxfId="559"/>
    <tableColumn id="7" xr3:uid="{B9DE3BDE-DB71-4112-9669-E17276B73660}" name="x" dataDxfId="558"/>
    <tableColumn id="8" xr3:uid="{A88FD3A2-305C-455C-B316-F8545B4B8CD4}" name="Placar Visitante" dataDxfId="557"/>
    <tableColumn id="3" xr3:uid="{00458AEC-53A0-44E2-9D08-71FC46C04F40}" name="Visitante" dataDxfId="556"/>
    <tableColumn id="9" xr3:uid="{F715E227-53CA-4A31-9D6E-C08775B122FA}" name="Pontuação" dataDxfId="555">
      <calculatedColumnFormula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310C74D-A236-4214-8692-C8F0F42E1F51}" name="Tabela_33419" displayName="Tabela_33419" ref="A1:I73" totalsRowShown="0" headerRowDxfId="554" dataDxfId="553">
  <tableColumns count="9">
    <tableColumn id="1" xr3:uid="{41C2B425-D958-48F5-A8F1-09649ADE70E9}" name="Hora-Data" dataDxfId="552"/>
    <tableColumn id="4" xr3:uid="{86D8CFDC-F58C-47B6-B767-E771CE819433}" name="Data" dataDxfId="551"/>
    <tableColumn id="5" xr3:uid="{3A3F1C6D-C2D6-4168-8550-4F117411C32C}" name="Horário" dataDxfId="550"/>
    <tableColumn id="2" xr3:uid="{3AE845E1-F476-4584-B8E1-19705C1C9948}" name="Mandante" dataDxfId="549"/>
    <tableColumn id="6" xr3:uid="{A142002C-01AB-4E0C-8F90-957B687D7D58}" name="Placar Mandante" dataDxfId="548"/>
    <tableColumn id="7" xr3:uid="{B9DE3BDE-DB71-4112-9669-E17276B73660}" name="x" dataDxfId="547"/>
    <tableColumn id="8" xr3:uid="{A88FD3A2-305C-455C-B316-F8545B4B8CD4}" name="Placar Visitante" dataDxfId="546"/>
    <tableColumn id="3" xr3:uid="{00458AEC-53A0-44E2-9D08-71FC46C04F40}" name="Visitante" dataDxfId="545"/>
    <tableColumn id="9" xr3:uid="{14ABC5AD-9BB6-42B1-A69B-5F3F9E22336F}" name="Pontuação" dataDxfId="544">
      <calculatedColumnFormula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D0C03FB0-3776-43BF-B25E-D1C989ACAEDC}" name="Tabela_33465" displayName="Tabela_33465" ref="A1:I73" totalsRowShown="0" headerRowDxfId="543" dataDxfId="542">
  <tableColumns count="9">
    <tableColumn id="1" xr3:uid="{41C2B425-D958-48F5-A8F1-09649ADE70E9}" name="Hora-Data" dataDxfId="541"/>
    <tableColumn id="4" xr3:uid="{86D8CFDC-F58C-47B6-B767-E771CE819433}" name="Data" dataDxfId="540"/>
    <tableColumn id="5" xr3:uid="{3A3F1C6D-C2D6-4168-8550-4F117411C32C}" name="Horário" dataDxfId="539"/>
    <tableColumn id="2" xr3:uid="{3AE845E1-F476-4584-B8E1-19705C1C9948}" name="Mandante" dataDxfId="538"/>
    <tableColumn id="6" xr3:uid="{A142002C-01AB-4E0C-8F90-957B687D7D58}" name="Placar Mandante" dataDxfId="537"/>
    <tableColumn id="7" xr3:uid="{B9DE3BDE-DB71-4112-9669-E17276B73660}" name="x" dataDxfId="536"/>
    <tableColumn id="8" xr3:uid="{A88FD3A2-305C-455C-B316-F8545B4B8CD4}" name="Placar Visitante" dataDxfId="535"/>
    <tableColumn id="3" xr3:uid="{00458AEC-53A0-44E2-9D08-71FC46C04F40}" name="Visitante" dataDxfId="534"/>
    <tableColumn id="9" xr3:uid="{58F3E40A-BED2-4757-95FE-CD79D13B6A18}" name="Pontuação" dataDxfId="533">
      <calculatedColumnFormula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1CF1254-1D3D-4FD3-8165-6AE50BC74477}" name="Tabela_3340" displayName="Tabela_3340" ref="A1:I73" totalsRowShown="0">
  <autoFilter ref="A1:I73" xr:uid="{59B97D97-5ABE-4DF4-8091-6EC2AD5D0D94}"/>
  <tableColumns count="9">
    <tableColumn id="1" xr3:uid="{25EAA85C-145D-4016-B353-35BCAD990CF3}" name="Hora-Data" dataDxfId="532"/>
    <tableColumn id="4" xr3:uid="{A59D21CA-D7EB-4111-832A-24FE9B3FB912}" name="Data" dataDxfId="531"/>
    <tableColumn id="5" xr3:uid="{E9F75F27-5B6D-4FB1-8878-71003AF5768A}" name="Horário" dataDxfId="530"/>
    <tableColumn id="2" xr3:uid="{A062EB00-1E06-4366-BF84-8DD3DC8BE7E3}" name="Mandante" dataDxfId="529"/>
    <tableColumn id="6" xr3:uid="{0E131EC7-E664-4856-9473-EC57728D1E52}" name="Placar Mandante" dataDxfId="528"/>
    <tableColumn id="7" xr3:uid="{B769D8A5-06B0-4D5E-9C3D-13BA30C8B6D7}" name="x" dataDxfId="527"/>
    <tableColumn id="8" xr3:uid="{54652BBC-1687-46E4-A76F-21958D4CC502}" name="Placar Visitante" dataDxfId="526"/>
    <tableColumn id="3" xr3:uid="{1061B9F8-BCD4-42F6-B642-74C19CD741C4}" name="Visitante" dataDxfId="525"/>
    <tableColumn id="9" xr3:uid="{7CD7305B-7A75-4B29-B2DD-536AEF44C70C}" name="Pontuação" dataDxfId="524">
      <calculatedColumnFormula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F29354E-50B8-4ADD-A12C-D39AE87704B8}" name="Tabela_33420" displayName="Tabela_33420" ref="A1:I73" totalsRowShown="0" headerRowDxfId="523" dataDxfId="522">
  <tableColumns count="9">
    <tableColumn id="1" xr3:uid="{41C2B425-D958-48F5-A8F1-09649ADE70E9}" name="Hora-Data" dataDxfId="521"/>
    <tableColumn id="4" xr3:uid="{86D8CFDC-F58C-47B6-B767-E771CE819433}" name="Data" dataDxfId="520"/>
    <tableColumn id="5" xr3:uid="{3A3F1C6D-C2D6-4168-8550-4F117411C32C}" name="Horário" dataDxfId="519"/>
    <tableColumn id="2" xr3:uid="{3AE845E1-F476-4584-B8E1-19705C1C9948}" name="Mandante" dataDxfId="518"/>
    <tableColumn id="6" xr3:uid="{A142002C-01AB-4E0C-8F90-957B687D7D58}" name="Placar Mandante" dataDxfId="517"/>
    <tableColumn id="7" xr3:uid="{B9DE3BDE-DB71-4112-9669-E17276B73660}" name="x" dataDxfId="516"/>
    <tableColumn id="8" xr3:uid="{A88FD3A2-305C-455C-B316-F8545B4B8CD4}" name="Placar Visitante" dataDxfId="515"/>
    <tableColumn id="3" xr3:uid="{00458AEC-53A0-44E2-9D08-71FC46C04F40}" name="Visitante" dataDxfId="514"/>
    <tableColumn id="9" xr3:uid="{6897160D-E0DD-4B1F-ACAF-88A776300985}" name="Pontuação" dataDxfId="513">
      <calculatedColumnFormula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3C20078-662D-46AE-9815-04DB03D2D5F5}" name="Tabela_33421" displayName="Tabela_33421" ref="A1:I73" totalsRowShown="0" headerRowDxfId="512" dataDxfId="511">
  <tableColumns count="9">
    <tableColumn id="1" xr3:uid="{41C2B425-D958-48F5-A8F1-09649ADE70E9}" name="Hora-Data" dataDxfId="510"/>
    <tableColumn id="4" xr3:uid="{86D8CFDC-F58C-47B6-B767-E771CE819433}" name="Data" dataDxfId="509"/>
    <tableColumn id="5" xr3:uid="{3A3F1C6D-C2D6-4168-8550-4F117411C32C}" name="Horário" dataDxfId="508"/>
    <tableColumn id="2" xr3:uid="{3AE845E1-F476-4584-B8E1-19705C1C9948}" name="Mandante" dataDxfId="507"/>
    <tableColumn id="6" xr3:uid="{A142002C-01AB-4E0C-8F90-957B687D7D58}" name="Placar Mandante" dataDxfId="506"/>
    <tableColumn id="7" xr3:uid="{B9DE3BDE-DB71-4112-9669-E17276B73660}" name="x" dataDxfId="505"/>
    <tableColumn id="8" xr3:uid="{A88FD3A2-305C-455C-B316-F8545B4B8CD4}" name="Placar Visitante" dataDxfId="504"/>
    <tableColumn id="3" xr3:uid="{00458AEC-53A0-44E2-9D08-71FC46C04F40}" name="Visitante" dataDxfId="503"/>
    <tableColumn id="9" xr3:uid="{2152C6DD-D3B5-4125-82F5-B67179E448B9}" name="Pontuação" dataDxfId="502">
      <calculatedColumnFormula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023F2E1-88F4-4A8F-A1F0-1B5F19BB5E28}" name="Tabela_3341" displayName="Tabela_3341" ref="A1:I73" totalsRowShown="0">
  <autoFilter ref="A1:I73" xr:uid="{59B97D97-5ABE-4DF4-8091-6EC2AD5D0D94}"/>
  <tableColumns count="9">
    <tableColumn id="1" xr3:uid="{F26E8AA0-B216-44BA-A9BA-55021B8D3723}" name="Hora-Data" dataDxfId="501"/>
    <tableColumn id="4" xr3:uid="{E92D8144-7E97-40AD-8348-8EF38E43943F}" name="Data" dataDxfId="500"/>
    <tableColumn id="5" xr3:uid="{5F1AF1BC-F7A8-4617-B1E5-3D18E56CAC8C}" name="Horário" dataDxfId="499"/>
    <tableColumn id="2" xr3:uid="{523C3F85-3E00-4E46-BB00-E2BC46B37194}" name="Mandante" dataDxfId="498"/>
    <tableColumn id="6" xr3:uid="{6BB97349-A966-4A80-9AC9-5B502C89F51E}" name="Placar Mandante" dataDxfId="497"/>
    <tableColumn id="7" xr3:uid="{871FBC10-7049-4C77-B80B-0E7EEFD6EEDE}" name="x" dataDxfId="496"/>
    <tableColumn id="8" xr3:uid="{6EEAEEF5-54FA-4953-824B-8526E1F1A0FB}" name="Placar Visitante" dataDxfId="495"/>
    <tableColumn id="3" xr3:uid="{56079387-CDF2-43F2-99F5-66177D5EC4CE}" name="Visitante" dataDxfId="494"/>
    <tableColumn id="9" xr3:uid="{2CE55503-FF7E-4ADB-98E4-F28233524E25}" name="Pontuação" dataDxfId="493">
      <calculatedColumnFormula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A358D9D6-FCB8-4D91-A610-57EE096CD4AF}" name="Tabela_33469" displayName="Tabela_33469" ref="A1:I73" totalsRowShown="0" headerRowDxfId="492" dataDxfId="491">
  <tableColumns count="9">
    <tableColumn id="1" xr3:uid="{00000000-0010-0000-0000-000001000000}" name="Hora-Data" dataDxfId="490"/>
    <tableColumn id="4" xr3:uid="{00000000-0010-0000-0000-000004000000}" name="Data" dataDxfId="489"/>
    <tableColumn id="5" xr3:uid="{00000000-0010-0000-0000-000005000000}" name="Horário" dataDxfId="488"/>
    <tableColumn id="2" xr3:uid="{00000000-0010-0000-0000-000002000000}" name="Mandante" dataDxfId="487"/>
    <tableColumn id="6" xr3:uid="{00000000-0010-0000-0000-000006000000}" name="Placar Mandante" dataDxfId="486"/>
    <tableColumn id="7" xr3:uid="{00000000-0010-0000-0000-000007000000}" name="x" dataDxfId="485"/>
    <tableColumn id="8" xr3:uid="{00000000-0010-0000-0000-000008000000}" name="Placar Visitante" dataDxfId="484"/>
    <tableColumn id="3" xr3:uid="{00000000-0010-0000-0000-000003000000}" name="Visitante" dataDxfId="483"/>
    <tableColumn id="9" xr3:uid="{E5E23389-D603-4DEE-A08D-6ABE1B63B97F}" name="Pontuação" dataDxfId="482">
      <calculatedColumnFormula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673190C-0B87-4D5D-B763-6427AB18EED7}" name="Tabela_3342" displayName="Tabela_3342" ref="A1:I73" totalsRowShown="0">
  <autoFilter ref="A1:I73" xr:uid="{59B97D97-5ABE-4DF4-8091-6EC2AD5D0D94}"/>
  <tableColumns count="9">
    <tableColumn id="1" xr3:uid="{FEC9BCBE-772F-401A-B065-277FFE12C897}" name="Hora-Data" dataDxfId="481"/>
    <tableColumn id="4" xr3:uid="{02EBF074-2376-493C-B24A-83562C8D52F5}" name="Data" dataDxfId="480"/>
    <tableColumn id="5" xr3:uid="{47DF949D-9FA8-436E-BD7A-3CBEF9C17BB0}" name="Horário" dataDxfId="479"/>
    <tableColumn id="2" xr3:uid="{692E3CF0-085D-4AA5-B650-5F826047DDBD}" name="Mandante" dataDxfId="478"/>
    <tableColumn id="6" xr3:uid="{F6E761E8-43C0-468C-8AB8-986AAA173904}" name="Placar Mandante" dataDxfId="477"/>
    <tableColumn id="7" xr3:uid="{BB30A769-3A6B-4BAF-856F-CCCADE5B24E2}" name="x" dataDxfId="476"/>
    <tableColumn id="8" xr3:uid="{11BA1B32-367D-4CBB-9BED-D5CE08B32DB1}" name="Placar Visitante" dataDxfId="475"/>
    <tableColumn id="3" xr3:uid="{DF562F1D-8D6D-40B5-BA76-3BCE71FFC924}" name="Visitante" dataDxfId="474"/>
    <tableColumn id="9" xr3:uid="{2DC0CB12-5E67-4E00-B3B0-F494630BE52D}" name="Pontuação" dataDxfId="473">
      <calculatedColumnFormula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789B966D-DD04-49E8-AFE1-B9D4BC9437FD}" name="Tabela_3343" displayName="Tabela_3343" ref="A1:I73" totalsRowShown="0">
  <autoFilter ref="A1:I73" xr:uid="{59B97D97-5ABE-4DF4-8091-6EC2AD5D0D94}"/>
  <tableColumns count="9">
    <tableColumn id="1" xr3:uid="{CF35C260-C0B5-4021-89B1-84E3CB55E6F4}" name="Hora-Data" dataDxfId="472"/>
    <tableColumn id="4" xr3:uid="{53CAD0FF-C710-4C93-98F5-CF37D350771B}" name="Data" dataDxfId="471"/>
    <tableColumn id="5" xr3:uid="{F14F7B52-4FE0-40CA-88FE-DF6F29639B7C}" name="Horário" dataDxfId="470"/>
    <tableColumn id="2" xr3:uid="{3B397000-B8FC-4830-A2CE-7EBC5B177DD9}" name="Mandante" dataDxfId="469"/>
    <tableColumn id="6" xr3:uid="{3384F4BF-1D59-4A56-B143-CDAC45778A78}" name="Placar Mandante" dataDxfId="468"/>
    <tableColumn id="7" xr3:uid="{9FD4E298-1E3F-4F36-A0B7-F44578C0BE48}" name="x" dataDxfId="467"/>
    <tableColumn id="8" xr3:uid="{E70DA0C9-69B6-4F95-B771-ECC82BD30E7C}" name="Placar Visitante" dataDxfId="466"/>
    <tableColumn id="3" xr3:uid="{FB64C593-165D-403C-80D0-39918981E2B1}" name="Visitante" dataDxfId="465"/>
    <tableColumn id="9" xr3:uid="{635CEA32-B6AD-4FEE-9591-7652983DC73F}" name="Pontuação" dataDxfId="464">
      <calculatedColumnFormula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32BD23E-E2D3-4968-982B-BCD6F1C903CE}" name="Tabela_33423" displayName="Tabela_33423" ref="A1:I73" totalsRowShown="0" headerRowDxfId="463" dataDxfId="462">
  <tableColumns count="9">
    <tableColumn id="1" xr3:uid="{41C2B425-D958-48F5-A8F1-09649ADE70E9}" name="Hora-Data" dataDxfId="461"/>
    <tableColumn id="4" xr3:uid="{86D8CFDC-F58C-47B6-B767-E771CE819433}" name="Data" dataDxfId="460"/>
    <tableColumn id="5" xr3:uid="{3A3F1C6D-C2D6-4168-8550-4F117411C32C}" name="Horário" dataDxfId="459"/>
    <tableColumn id="2" xr3:uid="{3AE845E1-F476-4584-B8E1-19705C1C9948}" name="Mandante" dataDxfId="458"/>
    <tableColumn id="6" xr3:uid="{A142002C-01AB-4E0C-8F90-957B687D7D58}" name="Placar Mandante" dataDxfId="457"/>
    <tableColumn id="7" xr3:uid="{B9DE3BDE-DB71-4112-9669-E17276B73660}" name="x" dataDxfId="456"/>
    <tableColumn id="8" xr3:uid="{A88FD3A2-305C-455C-B316-F8545B4B8CD4}" name="Placar Visitante" dataDxfId="455"/>
    <tableColumn id="3" xr3:uid="{00458AEC-53A0-44E2-9D08-71FC46C04F40}" name="Visitante" dataDxfId="454"/>
    <tableColumn id="9" xr3:uid="{01825294-1CF8-4E7C-A200-54A828E0C1FD}" name="Pontuação" dataDxfId="453">
      <calculatedColumnFormula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4018F5C-36ED-45F5-BFB0-C818C7C1F61C}" name="Tabela_33424" displayName="Tabela_33424" ref="A1:I73" totalsRowShown="0" headerRowDxfId="452" dataDxfId="451">
  <tableColumns count="9">
    <tableColumn id="1" xr3:uid="{41C2B425-D958-48F5-A8F1-09649ADE70E9}" name="Hora-Data" dataDxfId="450"/>
    <tableColumn id="4" xr3:uid="{86D8CFDC-F58C-47B6-B767-E771CE819433}" name="Data" dataDxfId="449"/>
    <tableColumn id="5" xr3:uid="{3A3F1C6D-C2D6-4168-8550-4F117411C32C}" name="Horário" dataDxfId="448"/>
    <tableColumn id="2" xr3:uid="{3AE845E1-F476-4584-B8E1-19705C1C9948}" name="Mandante" dataDxfId="447"/>
    <tableColumn id="6" xr3:uid="{A142002C-01AB-4E0C-8F90-957B687D7D58}" name="Placar Mandante" dataDxfId="446"/>
    <tableColumn id="7" xr3:uid="{B9DE3BDE-DB71-4112-9669-E17276B73660}" name="x" dataDxfId="445"/>
    <tableColumn id="8" xr3:uid="{A88FD3A2-305C-455C-B316-F8545B4B8CD4}" name="Placar Visitante" dataDxfId="444"/>
    <tableColumn id="3" xr3:uid="{00458AEC-53A0-44E2-9D08-71FC46C04F40}" name="Visitante" dataDxfId="443"/>
    <tableColumn id="9" xr3:uid="{5D48239E-2331-4235-BE61-C8293CEF5B36}" name="Pontuação" dataDxfId="442">
      <calculatedColumnFormula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D18ECD-9F93-434E-A9A6-242DFBEE7A74}" name="Tabela_33425" displayName="Tabela_33425" ref="A1:I73" totalsRowShown="0" headerRowDxfId="441" dataDxfId="440">
  <tableColumns count="9">
    <tableColumn id="1" xr3:uid="{41C2B425-D958-48F5-A8F1-09649ADE70E9}" name="Hora-Data" dataDxfId="439"/>
    <tableColumn id="4" xr3:uid="{86D8CFDC-F58C-47B6-B767-E771CE819433}" name="Data" dataDxfId="438"/>
    <tableColumn id="5" xr3:uid="{3A3F1C6D-C2D6-4168-8550-4F117411C32C}" name="Horário" dataDxfId="437"/>
    <tableColumn id="2" xr3:uid="{3AE845E1-F476-4584-B8E1-19705C1C9948}" name="Mandante" dataDxfId="436"/>
    <tableColumn id="6" xr3:uid="{A142002C-01AB-4E0C-8F90-957B687D7D58}" name="Placar Mandante" dataDxfId="435"/>
    <tableColumn id="7" xr3:uid="{B9DE3BDE-DB71-4112-9669-E17276B73660}" name="x" dataDxfId="434"/>
    <tableColumn id="8" xr3:uid="{A88FD3A2-305C-455C-B316-F8545B4B8CD4}" name="Placar Visitante" dataDxfId="433"/>
    <tableColumn id="3" xr3:uid="{00458AEC-53A0-44E2-9D08-71FC46C04F40}" name="Visitante" dataDxfId="432"/>
    <tableColumn id="9" xr3:uid="{0580CC51-A411-48C2-A613-1C1C053A3383}" name="Pontuação" dataDxfId="431">
      <calculatedColumnFormula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CE787EA2-60AF-41C2-828B-394D55E83BE7}" name="Tabela_3344" displayName="Tabela_3344" ref="A1:I73" totalsRowShown="0">
  <autoFilter ref="A1:I73" xr:uid="{59B97D97-5ABE-4DF4-8091-6EC2AD5D0D94}"/>
  <tableColumns count="9">
    <tableColumn id="1" xr3:uid="{558C3E56-F6E5-4C21-B6FF-ED16960E473B}" name="Hora-Data" dataDxfId="430"/>
    <tableColumn id="4" xr3:uid="{8BD56126-AD25-4879-9AC8-3D1CACD8FFC8}" name="Data" dataDxfId="429"/>
    <tableColumn id="5" xr3:uid="{AED1EA34-73F3-4531-BF63-64CEA68F1D0E}" name="Horário" dataDxfId="428"/>
    <tableColumn id="2" xr3:uid="{FB31F4AD-E147-4743-9404-85A8AEB4EEC6}" name="Mandante" dataDxfId="427"/>
    <tableColumn id="6" xr3:uid="{ED533932-2085-4A8F-8E63-C72F5815F797}" name="Placar Mandante" dataDxfId="426"/>
    <tableColumn id="7" xr3:uid="{26025369-B95A-43F2-BEBD-746BA545535D}" name="x" dataDxfId="425"/>
    <tableColumn id="8" xr3:uid="{8309A6CF-8D9B-4F83-9A7E-9D3E86D0295A}" name="Placar Visitante" dataDxfId="424"/>
    <tableColumn id="3" xr3:uid="{51AD3F80-EDF9-4049-BE3A-2FD9F26A2DB9}" name="Visitante" dataDxfId="423"/>
    <tableColumn id="9" xr3:uid="{698BCCCF-B17C-4ED0-9F1F-6C44661E47AE}" name="Pontuação" dataDxfId="422">
      <calculatedColumnFormula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0A851E3-21BF-4564-BC7A-B9EE2EB293B1}" name="Tabela_33427" displayName="Tabela_33427" ref="A1:I73" totalsRowShown="0" headerRowDxfId="421" dataDxfId="420">
  <tableColumns count="9">
    <tableColumn id="1" xr3:uid="{41C2B425-D958-48F5-A8F1-09649ADE70E9}" name="Hora-Data" dataDxfId="419"/>
    <tableColumn id="4" xr3:uid="{86D8CFDC-F58C-47B6-B767-E771CE819433}" name="Data" dataDxfId="418"/>
    <tableColumn id="5" xr3:uid="{3A3F1C6D-C2D6-4168-8550-4F117411C32C}" name="Horário" dataDxfId="417"/>
    <tableColumn id="2" xr3:uid="{3AE845E1-F476-4584-B8E1-19705C1C9948}" name="Mandante" dataDxfId="416"/>
    <tableColumn id="6" xr3:uid="{A142002C-01AB-4E0C-8F90-957B687D7D58}" name="Placar Mandante" dataDxfId="415"/>
    <tableColumn id="7" xr3:uid="{B9DE3BDE-DB71-4112-9669-E17276B73660}" name="x" dataDxfId="414"/>
    <tableColumn id="8" xr3:uid="{A88FD3A2-305C-455C-B316-F8545B4B8CD4}" name="Placar Visitante" dataDxfId="413"/>
    <tableColumn id="3" xr3:uid="{00458AEC-53A0-44E2-9D08-71FC46C04F40}" name="Visitante" dataDxfId="412"/>
    <tableColumn id="9" xr3:uid="{CD1B17B8-CB8A-445F-B9D3-14C5DF7CCF59}" name="Pontuação" dataDxfId="411">
      <calculatedColumnFormula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96C6CAF-036A-4E73-A797-5ED9C300C339}" name="Tabela_33428" displayName="Tabela_33428" ref="A1:I73" totalsRowShown="0" headerRowDxfId="410" dataDxfId="409">
  <tableColumns count="9">
    <tableColumn id="1" xr3:uid="{41C2B425-D958-48F5-A8F1-09649ADE70E9}" name="Hora-Data" dataDxfId="408"/>
    <tableColumn id="4" xr3:uid="{86D8CFDC-F58C-47B6-B767-E771CE819433}" name="Data" dataDxfId="407"/>
    <tableColumn id="5" xr3:uid="{3A3F1C6D-C2D6-4168-8550-4F117411C32C}" name="Horário" dataDxfId="406"/>
    <tableColumn id="2" xr3:uid="{3AE845E1-F476-4584-B8E1-19705C1C9948}" name="Mandante" dataDxfId="405"/>
    <tableColumn id="6" xr3:uid="{A142002C-01AB-4E0C-8F90-957B687D7D58}" name="Placar Mandante" dataDxfId="404"/>
    <tableColumn id="7" xr3:uid="{B9DE3BDE-DB71-4112-9669-E17276B73660}" name="x" dataDxfId="403"/>
    <tableColumn id="8" xr3:uid="{A88FD3A2-305C-455C-B316-F8545B4B8CD4}" name="Placar Visitante" dataDxfId="402"/>
    <tableColumn id="3" xr3:uid="{00458AEC-53A0-44E2-9D08-71FC46C04F40}" name="Visitante" dataDxfId="401"/>
    <tableColumn id="9" xr3:uid="{9136D830-58D1-4802-B483-DD4AA3A72821}" name="Pontuação" dataDxfId="400">
      <calculatedColumnFormula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B510F5EE-3086-41BE-89B4-D76381C0D327}" name="Tabela_33475" displayName="Tabela_33475" ref="A1:I73" totalsRowShown="0" headerRowDxfId="399" dataDxfId="398">
  <tableColumns count="9">
    <tableColumn id="1" xr3:uid="{41C2B425-D958-48F5-A8F1-09649ADE70E9}" name="Hora-Data" dataDxfId="397"/>
    <tableColumn id="4" xr3:uid="{86D8CFDC-F58C-47B6-B767-E771CE819433}" name="Data" dataDxfId="396"/>
    <tableColumn id="5" xr3:uid="{3A3F1C6D-C2D6-4168-8550-4F117411C32C}" name="Horário" dataDxfId="395"/>
    <tableColumn id="2" xr3:uid="{3AE845E1-F476-4584-B8E1-19705C1C9948}" name="Mandante" dataDxfId="394"/>
    <tableColumn id="6" xr3:uid="{A142002C-01AB-4E0C-8F90-957B687D7D58}" name="Placar Mandante" dataDxfId="393"/>
    <tableColumn id="7" xr3:uid="{B9DE3BDE-DB71-4112-9669-E17276B73660}" name="x" dataDxfId="392"/>
    <tableColumn id="8" xr3:uid="{A88FD3A2-305C-455C-B316-F8545B4B8CD4}" name="Placar Visitante" dataDxfId="391"/>
    <tableColumn id="3" xr3:uid="{00458AEC-53A0-44E2-9D08-71FC46C04F40}" name="Visitante" dataDxfId="390"/>
    <tableColumn id="9" xr3:uid="{ECB468C3-62FA-4E77-81C8-FEC25F9C3C6E}" name="Pontuação" dataDxfId="389">
      <calculatedColumnFormula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A61539B4-DD86-41E3-999D-49BC4F513128}" name="Tabela_3345" displayName="Tabela_3345" ref="A1:I73" totalsRowShown="0">
  <autoFilter ref="A1:I73" xr:uid="{59B97D97-5ABE-4DF4-8091-6EC2AD5D0D94}"/>
  <tableColumns count="9">
    <tableColumn id="1" xr3:uid="{12565BE4-2CDD-438C-9258-B5A4130D4688}" name="Hora-Data" dataDxfId="388"/>
    <tableColumn id="4" xr3:uid="{13BE344C-2700-4120-AC7E-2D5CBCBA89D1}" name="Data" dataDxfId="387"/>
    <tableColumn id="5" xr3:uid="{D69A3B6C-79DD-47DF-895F-31A489F7A8F4}" name="Horário" dataDxfId="386"/>
    <tableColumn id="2" xr3:uid="{E148196A-E5DB-474F-8355-1D2ED48EC595}" name="Mandante" dataDxfId="385"/>
    <tableColumn id="6" xr3:uid="{52111037-2799-4C2F-A56D-45A61D3548D8}" name="Placar Mandante" dataDxfId="384"/>
    <tableColumn id="7" xr3:uid="{0E27C18E-3EA9-475C-B23B-E68E4F22F891}" name="x" dataDxfId="383"/>
    <tableColumn id="8" xr3:uid="{89EBE43B-404D-4853-9F1B-719802437917}" name="Placar Visitante" dataDxfId="382"/>
    <tableColumn id="3" xr3:uid="{D399A39E-5BD4-4FD1-9B3F-EDDED29D9D12}" name="Visitante" dataDxfId="381"/>
    <tableColumn id="9" xr3:uid="{2755D7C1-242D-4985-8F66-E9745FB2C137}" name="Pontuação" dataDxfId="380">
      <calculatedColumnFormula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A116B7E5-CD08-438D-B055-A7812F5574BD}" name="Tabela_3346" displayName="Tabela_3346" ref="A1:I73" totalsRowShown="0">
  <autoFilter ref="A1:I73" xr:uid="{59B97D97-5ABE-4DF4-8091-6EC2AD5D0D94}"/>
  <tableColumns count="9">
    <tableColumn id="1" xr3:uid="{3DEBFE07-ABCD-4AEF-BE63-40C7BF3FA13C}" name="Hora-Data" dataDxfId="379"/>
    <tableColumn id="4" xr3:uid="{5E25114F-0CB9-4372-BA10-3DADE8E4B005}" name="Data" dataDxfId="378"/>
    <tableColumn id="5" xr3:uid="{0A9C38FB-CEBC-43C5-895E-F1D5950B18A0}" name="Horário" dataDxfId="377"/>
    <tableColumn id="2" xr3:uid="{55A15AB2-FC43-477D-9601-E49FE3783D5C}" name="Mandante" dataDxfId="376"/>
    <tableColumn id="6" xr3:uid="{99333703-F0B9-4E57-A13F-E9260FB641AE}" name="Placar Mandante" dataDxfId="375"/>
    <tableColumn id="7" xr3:uid="{CCE2F460-222F-439C-920E-A7452A9AEA87}" name="x" dataDxfId="374"/>
    <tableColumn id="8" xr3:uid="{A2009734-0A23-4CCD-B88A-C23EBCE6183A}" name="Placar Visitante" dataDxfId="373"/>
    <tableColumn id="3" xr3:uid="{F636D89A-2A42-4A9C-A3E7-3787D9A22FD3}" name="Visitante" dataDxfId="372"/>
    <tableColumn id="9" xr3:uid="{2847A652-12BC-4E4B-906E-E6686C027B2F}" name="Pontuação" dataDxfId="371">
      <calculatedColumnFormula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DA2A7FD7-EFDD-4A60-AA7F-EA44C9652109}" name="Tabela_33476" displayName="Tabela_33476" ref="A1:I73" totalsRowShown="0" headerRowDxfId="370" dataDxfId="369">
  <tableColumns count="9">
    <tableColumn id="1" xr3:uid="{41C2B425-D958-48F5-A8F1-09649ADE70E9}" name="Hora-Data" dataDxfId="368"/>
    <tableColumn id="4" xr3:uid="{86D8CFDC-F58C-47B6-B767-E771CE819433}" name="Data" dataDxfId="367"/>
    <tableColumn id="5" xr3:uid="{3A3F1C6D-C2D6-4168-8550-4F117411C32C}" name="Horário" dataDxfId="366"/>
    <tableColumn id="2" xr3:uid="{3AE845E1-F476-4584-B8E1-19705C1C9948}" name="Mandante" dataDxfId="365"/>
    <tableColumn id="6" xr3:uid="{A142002C-01AB-4E0C-8F90-957B687D7D58}" name="Placar Mandante" dataDxfId="364"/>
    <tableColumn id="7" xr3:uid="{B9DE3BDE-DB71-4112-9669-E17276B73660}" name="x" dataDxfId="363"/>
    <tableColumn id="8" xr3:uid="{A88FD3A2-305C-455C-B316-F8545B4B8CD4}" name="Placar Visitante" dataDxfId="362"/>
    <tableColumn id="3" xr3:uid="{00458AEC-53A0-44E2-9D08-71FC46C04F40}" name="Visitante" dataDxfId="361"/>
    <tableColumn id="9" xr3:uid="{0029808D-5432-4C5B-A420-EFDA25811B8A}" name="Pontuação" dataDxfId="360">
      <calculatedColumnFormula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964F05E-5498-4D3E-A9C8-F7F584CE58E3}" name="Tabela_33430" displayName="Tabela_33430" ref="A1:I73" totalsRowShown="0" headerRowDxfId="359" dataDxfId="358">
  <tableColumns count="9">
    <tableColumn id="1" xr3:uid="{41C2B425-D958-48F5-A8F1-09649ADE70E9}" name="Hora-Data" dataDxfId="357"/>
    <tableColumn id="4" xr3:uid="{86D8CFDC-F58C-47B6-B767-E771CE819433}" name="Data" dataDxfId="356"/>
    <tableColumn id="5" xr3:uid="{3A3F1C6D-C2D6-4168-8550-4F117411C32C}" name="Horário" dataDxfId="355"/>
    <tableColumn id="2" xr3:uid="{3AE845E1-F476-4584-B8E1-19705C1C9948}" name="Mandante" dataDxfId="354"/>
    <tableColumn id="6" xr3:uid="{A142002C-01AB-4E0C-8F90-957B687D7D58}" name="Placar Mandante" dataDxfId="353"/>
    <tableColumn id="7" xr3:uid="{B9DE3BDE-DB71-4112-9669-E17276B73660}" name="x" dataDxfId="352"/>
    <tableColumn id="8" xr3:uid="{A88FD3A2-305C-455C-B316-F8545B4B8CD4}" name="Placar Visitante" dataDxfId="351"/>
    <tableColumn id="3" xr3:uid="{00458AEC-53A0-44E2-9D08-71FC46C04F40}" name="Visitante" dataDxfId="350"/>
    <tableColumn id="9" xr3:uid="{80840320-AA66-4EB8-97E6-5392D63F310F}" name="Pontuação" dataDxfId="349">
      <calculatedColumnFormula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B3C05713-7713-48CF-9FD9-D1E3058972D8}" name="Tabela_33470" displayName="Tabela_33470" ref="A1:I73" totalsRowShown="0">
  <autoFilter ref="A1:I73" xr:uid="{59B97D97-5ABE-4DF4-8091-6EC2AD5D0D94}"/>
  <tableColumns count="9">
    <tableColumn id="1" xr3:uid="{6FA27498-BBFA-4FB4-99A4-1DAAEE71F9F6}" name="Hora-Data" dataDxfId="348"/>
    <tableColumn id="4" xr3:uid="{CDA67743-D169-4228-8EF7-A3701B809861}" name="Data" dataDxfId="347"/>
    <tableColumn id="5" xr3:uid="{D07BB53F-F9CB-4024-AAED-D16466D2729E}" name="Horário" dataDxfId="346"/>
    <tableColumn id="2" xr3:uid="{5F44741A-F7FD-4B25-97C1-8BEFEB1CE00B}" name="Mandante" dataDxfId="345"/>
    <tableColumn id="6" xr3:uid="{64E28575-003B-41B2-8A18-46A1707767F8}" name="Placar Mandante" dataDxfId="344"/>
    <tableColumn id="7" xr3:uid="{C070156F-8E3C-4250-97DD-6EE17A039492}" name="x" dataDxfId="343"/>
    <tableColumn id="8" xr3:uid="{E592C35C-ADF4-4AE4-A714-65FF33B2BFBE}" name="Placar Visitante" dataDxfId="342"/>
    <tableColumn id="3" xr3:uid="{EDDD7C71-DF21-4B21-B82E-A995D68A2524}" name="Visitante" dataDxfId="341"/>
    <tableColumn id="9" xr3:uid="{F1B407D5-F595-491D-8AD0-89A88891A113}" name="Pontuação" dataDxfId="340">
      <calculatedColumnFormula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99A0D16-8F0D-4BF5-9AE4-BA1D054C1DEB}" name="Tabela_334331" displayName="Tabela_334331" ref="A1:I73" totalsRowShown="0" headerRowDxfId="339" dataDxfId="338">
  <tableColumns count="9">
    <tableColumn id="1" xr3:uid="{0DE9F61B-534D-41AE-B013-1F7630D13025}" name="Hora-Data" dataDxfId="337"/>
    <tableColumn id="4" xr3:uid="{07771210-A62C-4FBF-9BAE-19F477A31D7F}" name="Data" dataDxfId="336"/>
    <tableColumn id="5" xr3:uid="{AE69F1B1-3C23-43ED-BEF7-2FA833FB05E0}" name="Horário" dataDxfId="335"/>
    <tableColumn id="2" xr3:uid="{8C4B94BF-5392-4479-A3BC-EFE17B49A681}" name="Mandante" dataDxfId="334"/>
    <tableColumn id="6" xr3:uid="{86DA2AB9-DB06-4489-B59D-F0B3630C1344}" name="Placar Mandante" dataDxfId="333"/>
    <tableColumn id="7" xr3:uid="{1E331A85-A003-4B61-80AC-3429782ED3C8}" name="x" dataDxfId="332"/>
    <tableColumn id="8" xr3:uid="{C75FE2D5-2797-4445-8525-548A15F2F650}" name="Placar Visitante" dataDxfId="331"/>
    <tableColumn id="3" xr3:uid="{936BA184-9518-49DC-B1A4-19CFCD2E1B52}" name="Visitante" dataDxfId="330"/>
    <tableColumn id="9" xr3:uid="{B66148DE-EE13-44BF-A308-5861A3AE30C3}" name="Pontuação" dataDxfId="329">
      <calculatedColumnFormula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80A1CC4-6892-4AC0-B37F-0515F5C428C4}" name="Tabela_3347" displayName="Tabela_3347" ref="A1:I73" totalsRowShown="0">
  <autoFilter ref="A1:I73" xr:uid="{59B97D97-5ABE-4DF4-8091-6EC2AD5D0D94}"/>
  <tableColumns count="9">
    <tableColumn id="1" xr3:uid="{AA63C676-8B2C-4AB4-AD65-91484A282EB4}" name="Hora-Data" dataDxfId="328"/>
    <tableColumn id="4" xr3:uid="{ABAC820E-B72E-4DB0-A9BA-3A74B2DED4DF}" name="Data" dataDxfId="327"/>
    <tableColumn id="5" xr3:uid="{3E8EE65C-B63E-4B50-8592-390BFFB84D9C}" name="Horário" dataDxfId="326"/>
    <tableColumn id="2" xr3:uid="{BE12910E-AA8C-4F30-8B01-DAEDB6E930DA}" name="Mandante" dataDxfId="325"/>
    <tableColumn id="6" xr3:uid="{E64D48A2-8B26-407B-BE93-66D68666D8C3}" name="Placar Mandante" dataDxfId="324"/>
    <tableColumn id="7" xr3:uid="{4D75D414-4BC6-4161-8C91-D281051CB578}" name="x" dataDxfId="323"/>
    <tableColumn id="8" xr3:uid="{203745D8-BF27-4FD0-9E17-984C2A12F0DB}" name="Placar Visitante" dataDxfId="322"/>
    <tableColumn id="3" xr3:uid="{B5F7B566-F5C5-47F6-BE95-147E8935EE09}" name="Visitante" dataDxfId="321"/>
    <tableColumn id="9" xr3:uid="{FEB5DA9B-2A5F-4855-942B-AC1AD15FDB99}" name="Pontuação" dataDxfId="320">
      <calculatedColumnFormula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B82AF9B-30D4-462B-B41C-007A8623844A}" name="Tabela_33466" displayName="Tabela_33466" ref="A1:I73" totalsRowShown="0" headerRowDxfId="319" dataDxfId="318">
  <tableColumns count="9">
    <tableColumn id="1" xr3:uid="{41C2B425-D958-48F5-A8F1-09649ADE70E9}" name="Hora-Data" dataDxfId="317"/>
    <tableColumn id="4" xr3:uid="{86D8CFDC-F58C-47B6-B767-E771CE819433}" name="Data" dataDxfId="316"/>
    <tableColumn id="5" xr3:uid="{3A3F1C6D-C2D6-4168-8550-4F117411C32C}" name="Horário" dataDxfId="315"/>
    <tableColumn id="2" xr3:uid="{3AE845E1-F476-4584-B8E1-19705C1C9948}" name="Mandante" dataDxfId="314"/>
    <tableColumn id="6" xr3:uid="{A142002C-01AB-4E0C-8F90-957B687D7D58}" name="Placar Mandante" dataDxfId="313"/>
    <tableColumn id="7" xr3:uid="{B9DE3BDE-DB71-4112-9669-E17276B73660}" name="x" dataDxfId="312"/>
    <tableColumn id="8" xr3:uid="{A88FD3A2-305C-455C-B316-F8545B4B8CD4}" name="Placar Visitante" dataDxfId="311"/>
    <tableColumn id="3" xr3:uid="{00458AEC-53A0-44E2-9D08-71FC46C04F40}" name="Visitante" dataDxfId="310"/>
    <tableColumn id="9" xr3:uid="{DCB66C2F-046F-4321-898F-6476AA693C6B}" name="Pontuação" dataDxfId="309">
      <calculatedColumnFormula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AF76404C-BB2A-42FB-A252-80B8A3187BF3}" name="Tabela_33477" displayName="Tabela_33477" ref="A1:I73" totalsRowShown="0" headerRowDxfId="308" dataDxfId="307">
  <tableColumns count="9">
    <tableColumn id="1" xr3:uid="{41C2B425-D958-48F5-A8F1-09649ADE70E9}" name="Hora-Data" dataDxfId="306"/>
    <tableColumn id="4" xr3:uid="{86D8CFDC-F58C-47B6-B767-E771CE819433}" name="Data" dataDxfId="305"/>
    <tableColumn id="5" xr3:uid="{3A3F1C6D-C2D6-4168-8550-4F117411C32C}" name="Horário" dataDxfId="304"/>
    <tableColumn id="2" xr3:uid="{3AE845E1-F476-4584-B8E1-19705C1C9948}" name="Mandante" dataDxfId="303"/>
    <tableColumn id="6" xr3:uid="{A142002C-01AB-4E0C-8F90-957B687D7D58}" name="Placar Mandante" dataDxfId="302"/>
    <tableColumn id="7" xr3:uid="{B9DE3BDE-DB71-4112-9669-E17276B73660}" name="x" dataDxfId="301"/>
    <tableColumn id="8" xr3:uid="{A88FD3A2-305C-455C-B316-F8545B4B8CD4}" name="Placar Visitante" dataDxfId="300"/>
    <tableColumn id="3" xr3:uid="{00458AEC-53A0-44E2-9D08-71FC46C04F40}" name="Visitante" dataDxfId="299"/>
    <tableColumn id="9" xr3:uid="{7A96236F-9A48-4E88-8124-4CDD9CB41A28}" name="Pontuação" dataDxfId="298">
      <calculatedColumnFormula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FC317E6-56B1-4669-9114-D2F18F8D2241}" name="Tabela_33432" displayName="Tabela_33432" ref="A1:I73" totalsRowShown="0" headerRowDxfId="297" dataDxfId="296">
  <tableColumns count="9">
    <tableColumn id="1" xr3:uid="{41C2B425-D958-48F5-A8F1-09649ADE70E9}" name="Hora-Data" dataDxfId="295"/>
    <tableColumn id="4" xr3:uid="{86D8CFDC-F58C-47B6-B767-E771CE819433}" name="Data" dataDxfId="294"/>
    <tableColumn id="5" xr3:uid="{3A3F1C6D-C2D6-4168-8550-4F117411C32C}" name="Horário" dataDxfId="293"/>
    <tableColumn id="2" xr3:uid="{3AE845E1-F476-4584-B8E1-19705C1C9948}" name="Mandante" dataDxfId="292"/>
    <tableColumn id="6" xr3:uid="{A142002C-01AB-4E0C-8F90-957B687D7D58}" name="Placar Mandante" dataDxfId="291"/>
    <tableColumn id="7" xr3:uid="{B9DE3BDE-DB71-4112-9669-E17276B73660}" name="x" dataDxfId="290"/>
    <tableColumn id="8" xr3:uid="{A88FD3A2-305C-455C-B316-F8545B4B8CD4}" name="Placar Visitante" dataDxfId="289"/>
    <tableColumn id="3" xr3:uid="{00458AEC-53A0-44E2-9D08-71FC46C04F40}" name="Visitante" dataDxfId="288"/>
    <tableColumn id="9" xr3:uid="{8E4A7581-D6D0-444B-94F7-168A0CB2BF41}" name="Pontuação" dataDxfId="287">
      <calculatedColumnFormula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B0417684-A2DD-47D5-8888-02A30EB7ADF8}" name="Tabela_3348" displayName="Tabela_3348" ref="A1:I73" totalsRowShown="0">
  <autoFilter ref="A1:I73" xr:uid="{59B97D97-5ABE-4DF4-8091-6EC2AD5D0D94}"/>
  <tableColumns count="9">
    <tableColumn id="1" xr3:uid="{785C2190-C2E8-4636-9E12-79DAB0077AD3}" name="Hora-Data" dataDxfId="286"/>
    <tableColumn id="4" xr3:uid="{0105588E-8DBB-4577-96A5-B6EC9DEC7EDE}" name="Data" dataDxfId="285"/>
    <tableColumn id="5" xr3:uid="{1B428F74-05EF-4C16-A647-BBE5980ED546}" name="Horário" dataDxfId="284"/>
    <tableColumn id="2" xr3:uid="{3BC9DBB5-4E5F-4AC5-A2D1-AD0C368AA7F0}" name="Mandante" dataDxfId="283"/>
    <tableColumn id="6" xr3:uid="{9726B4C0-A511-4E56-A09F-F7BAA7CF478F}" name="Placar Mandante" dataDxfId="282"/>
    <tableColumn id="7" xr3:uid="{32D6595C-F695-4E4F-86E3-F3B1AD85461C}" name="x" dataDxfId="281"/>
    <tableColumn id="8" xr3:uid="{6D2B8392-FAA9-42B1-BED4-92B142F0DC0F}" name="Placar Visitante" dataDxfId="280"/>
    <tableColumn id="3" xr3:uid="{6CC9118B-3510-478D-B28A-63497775AEBF}" name="Visitante" dataDxfId="279"/>
    <tableColumn id="9" xr3:uid="{2CE25B6E-D65D-40D4-BE93-C9A2993257D5}" name="Pontuação" dataDxfId="278">
      <calculatedColumnFormula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4A142AB-E830-41F7-BF9D-21A095E88626}" name="Tabela_33433" displayName="Tabela_33433" ref="A1:I73" totalsRowShown="0" headerRowDxfId="277" dataDxfId="276">
  <tableColumns count="9">
    <tableColumn id="1" xr3:uid="{41C2B425-D958-48F5-A8F1-09649ADE70E9}" name="Hora-Data" dataDxfId="275"/>
    <tableColumn id="4" xr3:uid="{86D8CFDC-F58C-47B6-B767-E771CE819433}" name="Data" dataDxfId="274"/>
    <tableColumn id="5" xr3:uid="{3A3F1C6D-C2D6-4168-8550-4F117411C32C}" name="Horário" dataDxfId="273"/>
    <tableColumn id="2" xr3:uid="{3AE845E1-F476-4584-B8E1-19705C1C9948}" name="Mandante" dataDxfId="272"/>
    <tableColumn id="6" xr3:uid="{A142002C-01AB-4E0C-8F90-957B687D7D58}" name="Placar Mandante" dataDxfId="271"/>
    <tableColumn id="7" xr3:uid="{B9DE3BDE-DB71-4112-9669-E17276B73660}" name="x" dataDxfId="270"/>
    <tableColumn id="8" xr3:uid="{A88FD3A2-305C-455C-B316-F8545B4B8CD4}" name="Placar Visitante" dataDxfId="269"/>
    <tableColumn id="3" xr3:uid="{00458AEC-53A0-44E2-9D08-71FC46C04F40}" name="Visitante" dataDxfId="268"/>
    <tableColumn id="9" xr3:uid="{CF206C28-7279-4A06-9F85-A98A15634069}" name="Pontuação" dataDxfId="267">
      <calculatedColumnFormula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06A763B-44B8-4E66-A669-C3250646EF81}" name="Tabela_33426" displayName="Tabela_33426" ref="A1:I73" totalsRowShown="0" headerRowDxfId="266" dataDxfId="265">
  <tableColumns count="9">
    <tableColumn id="1" xr3:uid="{41C2B425-D958-48F5-A8F1-09649ADE70E9}" name="Hora-Data" dataDxfId="264"/>
    <tableColumn id="4" xr3:uid="{86D8CFDC-F58C-47B6-B767-E771CE819433}" name="Data" dataDxfId="263"/>
    <tableColumn id="5" xr3:uid="{3A3F1C6D-C2D6-4168-8550-4F117411C32C}" name="Horário" dataDxfId="262"/>
    <tableColumn id="2" xr3:uid="{3AE845E1-F476-4584-B8E1-19705C1C9948}" name="Mandante" dataDxfId="261"/>
    <tableColumn id="6" xr3:uid="{A142002C-01AB-4E0C-8F90-957B687D7D58}" name="Placar Mandante" dataDxfId="260"/>
    <tableColumn id="7" xr3:uid="{B9DE3BDE-DB71-4112-9669-E17276B73660}" name="x" dataDxfId="259"/>
    <tableColumn id="8" xr3:uid="{A88FD3A2-305C-455C-B316-F8545B4B8CD4}" name="Placar Visitante" dataDxfId="258"/>
    <tableColumn id="3" xr3:uid="{00458AEC-53A0-44E2-9D08-71FC46C04F40}" name="Visitante" dataDxfId="257"/>
    <tableColumn id="9" xr3:uid="{AFC0F6D1-0790-4AA1-BE1B-6911B22D2997}" name="Pontuação" dataDxfId="256">
      <calculatedColumnFormula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5232BFAA-7FD4-47C2-8769-9E4E8AE19E31}" name="Tabela_33451" displayName="Tabela_33451" ref="A1:I73" totalsRowShown="0" headerRowDxfId="255" dataDxfId="254">
  <tableColumns count="9">
    <tableColumn id="1" xr3:uid="{41C2B425-D958-48F5-A8F1-09649ADE70E9}" name="Hora-Data" dataDxfId="253"/>
    <tableColumn id="4" xr3:uid="{86D8CFDC-F58C-47B6-B767-E771CE819433}" name="Data" dataDxfId="252"/>
    <tableColumn id="5" xr3:uid="{3A3F1C6D-C2D6-4168-8550-4F117411C32C}" name="Horário" dataDxfId="251"/>
    <tableColumn id="2" xr3:uid="{3AE845E1-F476-4584-B8E1-19705C1C9948}" name="Mandante" dataDxfId="250"/>
    <tableColumn id="6" xr3:uid="{A142002C-01AB-4E0C-8F90-957B687D7D58}" name="Placar Mandante" dataDxfId="249"/>
    <tableColumn id="7" xr3:uid="{B9DE3BDE-DB71-4112-9669-E17276B73660}" name="x" dataDxfId="248"/>
    <tableColumn id="8" xr3:uid="{A88FD3A2-305C-455C-B316-F8545B4B8CD4}" name="Placar Visitante" dataDxfId="247"/>
    <tableColumn id="3" xr3:uid="{00458AEC-53A0-44E2-9D08-71FC46C04F40}" name="Visitante" dataDxfId="246"/>
    <tableColumn id="9" xr3:uid="{81A6477B-C2CA-4F38-89CA-7C6363D31B01}" name="Pontuação" dataDxfId="245">
      <calculatedColumnFormula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4AA3EFB-EC22-4DD8-B6AC-D86EC99443CA}" name="Tabela_33452" displayName="Tabela_33452" ref="A1:I73" totalsRowShown="0" headerRowDxfId="244" dataDxfId="243">
  <tableColumns count="9">
    <tableColumn id="1" xr3:uid="{41C2B425-D958-48F5-A8F1-09649ADE70E9}" name="Hora-Data" dataDxfId="242"/>
    <tableColumn id="4" xr3:uid="{86D8CFDC-F58C-47B6-B767-E771CE819433}" name="Data" dataDxfId="241"/>
    <tableColumn id="5" xr3:uid="{3A3F1C6D-C2D6-4168-8550-4F117411C32C}" name="Horário" dataDxfId="240"/>
    <tableColumn id="2" xr3:uid="{3AE845E1-F476-4584-B8E1-19705C1C9948}" name="Mandante" dataDxfId="239"/>
    <tableColumn id="6" xr3:uid="{A142002C-01AB-4E0C-8F90-957B687D7D58}" name="Placar Mandante" dataDxfId="238"/>
    <tableColumn id="7" xr3:uid="{B9DE3BDE-DB71-4112-9669-E17276B73660}" name="x" dataDxfId="237"/>
    <tableColumn id="8" xr3:uid="{A88FD3A2-305C-455C-B316-F8545B4B8CD4}" name="Placar Visitante" dataDxfId="236"/>
    <tableColumn id="3" xr3:uid="{00458AEC-53A0-44E2-9D08-71FC46C04F40}" name="Visitante" dataDxfId="235"/>
    <tableColumn id="9" xr3:uid="{07BFD027-73F9-4CB2-B236-278A8E8A96AB}" name="Pontuação" dataDxfId="234">
      <calculatedColumnFormula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9FB4C87-FB3B-4C53-A3A9-DE57D5F461CB}" name="Tabela_33453" displayName="Tabela_33453" ref="A1:I73" totalsRowShown="0" headerRowDxfId="233" dataDxfId="232">
  <tableColumns count="9">
    <tableColumn id="1" xr3:uid="{41C2B425-D958-48F5-A8F1-09649ADE70E9}" name="Hora-Data" dataDxfId="231"/>
    <tableColumn id="4" xr3:uid="{86D8CFDC-F58C-47B6-B767-E771CE819433}" name="Data" dataDxfId="230"/>
    <tableColumn id="5" xr3:uid="{3A3F1C6D-C2D6-4168-8550-4F117411C32C}" name="Horário" dataDxfId="229"/>
    <tableColumn id="2" xr3:uid="{3AE845E1-F476-4584-B8E1-19705C1C9948}" name="Mandante" dataDxfId="228"/>
    <tableColumn id="6" xr3:uid="{A142002C-01AB-4E0C-8F90-957B687D7D58}" name="Placar Mandante" dataDxfId="227"/>
    <tableColumn id="7" xr3:uid="{B9DE3BDE-DB71-4112-9669-E17276B73660}" name="x" dataDxfId="226"/>
    <tableColumn id="8" xr3:uid="{A88FD3A2-305C-455C-B316-F8545B4B8CD4}" name="Placar Visitante" dataDxfId="225"/>
    <tableColumn id="3" xr3:uid="{00458AEC-53A0-44E2-9D08-71FC46C04F40}" name="Visitante" dataDxfId="224"/>
    <tableColumn id="9" xr3:uid="{B56B5145-709C-4B91-AADD-24DBECA5C4D6}" name="Pontuação" dataDxfId="223">
      <calculatedColumnFormula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F481A3A9-284E-4847-ACDF-C52F3C9398D1}" name="Tabela_33454" displayName="Tabela_33454" ref="A1:I73" totalsRowShown="0" headerRowDxfId="222" dataDxfId="221">
  <tableColumns count="9">
    <tableColumn id="1" xr3:uid="{41C2B425-D958-48F5-A8F1-09649ADE70E9}" name="Hora-Data" dataDxfId="220"/>
    <tableColumn id="4" xr3:uid="{86D8CFDC-F58C-47B6-B767-E771CE819433}" name="Data" dataDxfId="219"/>
    <tableColumn id="5" xr3:uid="{3A3F1C6D-C2D6-4168-8550-4F117411C32C}" name="Horário" dataDxfId="218"/>
    <tableColumn id="2" xr3:uid="{3AE845E1-F476-4584-B8E1-19705C1C9948}" name="Mandante" dataDxfId="217"/>
    <tableColumn id="6" xr3:uid="{A142002C-01AB-4E0C-8F90-957B687D7D58}" name="Placar Mandante" dataDxfId="216"/>
    <tableColumn id="7" xr3:uid="{B9DE3BDE-DB71-4112-9669-E17276B73660}" name="x" dataDxfId="215"/>
    <tableColumn id="8" xr3:uid="{A88FD3A2-305C-455C-B316-F8545B4B8CD4}" name="Placar Visitante" dataDxfId="214"/>
    <tableColumn id="3" xr3:uid="{00458AEC-53A0-44E2-9D08-71FC46C04F40}" name="Visitante" dataDxfId="213"/>
    <tableColumn id="9" xr3:uid="{8A12D896-2B16-4F63-B870-82F466451883}" name="Pontuação" dataDxfId="212">
      <calculatedColumnFormula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E0226C42-9B63-42AE-A75B-419650BCE16C}" name="Tabela_33455" displayName="Tabela_33455" ref="A1:I73" totalsRowShown="0" headerRowDxfId="211" dataDxfId="210">
  <tableColumns count="9">
    <tableColumn id="1" xr3:uid="{41C2B425-D958-48F5-A8F1-09649ADE70E9}" name="Hora-Data" dataDxfId="209"/>
    <tableColumn id="4" xr3:uid="{86D8CFDC-F58C-47B6-B767-E771CE819433}" name="Data" dataDxfId="208"/>
    <tableColumn id="5" xr3:uid="{3A3F1C6D-C2D6-4168-8550-4F117411C32C}" name="Horário" dataDxfId="207"/>
    <tableColumn id="2" xr3:uid="{3AE845E1-F476-4584-B8E1-19705C1C9948}" name="Mandante" dataDxfId="206"/>
    <tableColumn id="6" xr3:uid="{A142002C-01AB-4E0C-8F90-957B687D7D58}" name="Placar Mandante" dataDxfId="205"/>
    <tableColumn id="7" xr3:uid="{B9DE3BDE-DB71-4112-9669-E17276B73660}" name="x" dataDxfId="204"/>
    <tableColumn id="8" xr3:uid="{A88FD3A2-305C-455C-B316-F8545B4B8CD4}" name="Placar Visitante" dataDxfId="203"/>
    <tableColumn id="3" xr3:uid="{00458AEC-53A0-44E2-9D08-71FC46C04F40}" name="Visitante" dataDxfId="202"/>
    <tableColumn id="9" xr3:uid="{0594C6A1-29ED-4889-B441-7E699E42F3E5}" name="Pontuação" dataDxfId="201">
      <calculatedColumnFormula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4382F626-5420-4500-AB0E-A36EE2DD064B}" name="Tabela_33478" displayName="Tabela_33478" ref="A1:I73" totalsRowShown="0" headerRowDxfId="200" dataDxfId="199">
  <tableColumns count="9">
    <tableColumn id="1" xr3:uid="{41C2B425-D958-48F5-A8F1-09649ADE70E9}" name="Hora-Data" dataDxfId="198"/>
    <tableColumn id="4" xr3:uid="{86D8CFDC-F58C-47B6-B767-E771CE819433}" name="Data" dataDxfId="197"/>
    <tableColumn id="5" xr3:uid="{3A3F1C6D-C2D6-4168-8550-4F117411C32C}" name="Horário" dataDxfId="196"/>
    <tableColumn id="2" xr3:uid="{3AE845E1-F476-4584-B8E1-19705C1C9948}" name="Mandante" dataDxfId="195"/>
    <tableColumn id="6" xr3:uid="{A142002C-01AB-4E0C-8F90-957B687D7D58}" name="Placar Mandante" dataDxfId="194"/>
    <tableColumn id="7" xr3:uid="{B9DE3BDE-DB71-4112-9669-E17276B73660}" name="x" dataDxfId="193"/>
    <tableColumn id="8" xr3:uid="{A88FD3A2-305C-455C-B316-F8545B4B8CD4}" name="Placar Visitante" dataDxfId="192"/>
    <tableColumn id="3" xr3:uid="{00458AEC-53A0-44E2-9D08-71FC46C04F40}" name="Visitante" dataDxfId="191"/>
    <tableColumn id="9" xr3:uid="{4AC54EFB-0C4B-4BA9-99AE-0023F5E1FEFD}" name="Pontuação" dataDxfId="190">
      <calculatedColumnFormula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3E5D0CFE-9FAE-4988-AC1A-CA465233D154}" name="Tabela_33456" displayName="Tabela_33456" ref="A1:I73" totalsRowShown="0" headerRowDxfId="189" dataDxfId="188">
  <tableColumns count="9">
    <tableColumn id="1" xr3:uid="{41C2B425-D958-48F5-A8F1-09649ADE70E9}" name="Hora-Data" dataDxfId="187"/>
    <tableColumn id="4" xr3:uid="{86D8CFDC-F58C-47B6-B767-E771CE819433}" name="Data" dataDxfId="186"/>
    <tableColumn id="5" xr3:uid="{3A3F1C6D-C2D6-4168-8550-4F117411C32C}" name="Horário" dataDxfId="185"/>
    <tableColumn id="2" xr3:uid="{3AE845E1-F476-4584-B8E1-19705C1C9948}" name="Mandante" dataDxfId="184"/>
    <tableColumn id="6" xr3:uid="{A142002C-01AB-4E0C-8F90-957B687D7D58}" name="Placar Mandante" dataDxfId="183"/>
    <tableColumn id="7" xr3:uid="{B9DE3BDE-DB71-4112-9669-E17276B73660}" name="x" dataDxfId="182"/>
    <tableColumn id="8" xr3:uid="{A88FD3A2-305C-455C-B316-F8545B4B8CD4}" name="Placar Visitante" dataDxfId="181"/>
    <tableColumn id="3" xr3:uid="{00458AEC-53A0-44E2-9D08-71FC46C04F40}" name="Visitante" dataDxfId="180"/>
    <tableColumn id="9" xr3:uid="{4C5EF4E9-18B9-4399-80BD-43B9C0132469}" name="Pontuação" dataDxfId="179">
      <calculatedColumnFormula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3C774123-D4C9-40B0-B23D-1977B716B793}" name="Tabela_3349" displayName="Tabela_3349" ref="A1:I73" totalsRowShown="0">
  <autoFilter ref="A1:I73" xr:uid="{59B97D97-5ABE-4DF4-8091-6EC2AD5D0D94}"/>
  <tableColumns count="9">
    <tableColumn id="1" xr3:uid="{979C7D67-ED95-4FA9-AE5E-513E5E43777A}" name="Hora-Data" dataDxfId="178"/>
    <tableColumn id="4" xr3:uid="{75E87DE3-D8B6-4673-BFA0-79AE865D34AB}" name="Data" dataDxfId="177"/>
    <tableColumn id="5" xr3:uid="{E462B334-DC17-44CC-BC83-282A34588D08}" name="Horário" dataDxfId="176"/>
    <tableColumn id="2" xr3:uid="{D45F62E0-60CD-4F66-882F-B1818C9D3186}" name="Mandante" dataDxfId="175"/>
    <tableColumn id="6" xr3:uid="{146FEE76-04A9-4549-86CD-9BBB4C9598E3}" name="Placar Mandante" dataDxfId="174"/>
    <tableColumn id="7" xr3:uid="{3E14C783-5685-49B3-A9BD-544127BEBA43}" name="x" dataDxfId="173"/>
    <tableColumn id="8" xr3:uid="{B5309FF0-7D50-4DF5-8511-4AF3966990F3}" name="Placar Visitante" dataDxfId="172"/>
    <tableColumn id="3" xr3:uid="{852302AA-E416-4657-AC3D-AB591C7BEBAD}" name="Visitante" dataDxfId="171"/>
    <tableColumn id="9" xr3:uid="{1852C785-03FC-4C32-A7C7-4F85C745C5D4}" name="Pontuação" dataDxfId="170">
      <calculatedColumnFormula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C3C45662-16B2-44A9-80B1-5171BEFE86AC}" name="Tabela_33457" displayName="Tabela_33457" ref="A1:I73" totalsRowShown="0" headerRowDxfId="169" dataDxfId="168">
  <tableColumns count="9">
    <tableColumn id="1" xr3:uid="{41C2B425-D958-48F5-A8F1-09649ADE70E9}" name="Hora-Data" dataDxfId="167"/>
    <tableColumn id="4" xr3:uid="{86D8CFDC-F58C-47B6-B767-E771CE819433}" name="Data" dataDxfId="166"/>
    <tableColumn id="5" xr3:uid="{3A3F1C6D-C2D6-4168-8550-4F117411C32C}" name="Horário" dataDxfId="165"/>
    <tableColumn id="2" xr3:uid="{3AE845E1-F476-4584-B8E1-19705C1C9948}" name="Mandante" dataDxfId="164"/>
    <tableColumn id="6" xr3:uid="{A142002C-01AB-4E0C-8F90-957B687D7D58}" name="Placar Mandante" dataDxfId="163"/>
    <tableColumn id="7" xr3:uid="{B9DE3BDE-DB71-4112-9669-E17276B73660}" name="x" dataDxfId="162"/>
    <tableColumn id="8" xr3:uid="{A88FD3A2-305C-455C-B316-F8545B4B8CD4}" name="Placar Visitante" dataDxfId="161"/>
    <tableColumn id="3" xr3:uid="{00458AEC-53A0-44E2-9D08-71FC46C04F40}" name="Visitante" dataDxfId="160"/>
    <tableColumn id="9" xr3:uid="{E357C8F0-CD4D-420C-BAEC-6253AFA49ACE}" name="Pontuação" dataDxfId="159">
      <calculatedColumnFormula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D4269FF-70C0-4809-A497-BAC9AE8DBBEF}" name="Tabela_33422" displayName="Tabela_33422" ref="A1:I73" totalsRowShown="0" headerRowDxfId="158" dataDxfId="157">
  <tableColumns count="9">
    <tableColumn id="1" xr3:uid="{00000000-0010-0000-0000-000001000000}" name="Hora-Data" dataDxfId="156"/>
    <tableColumn id="4" xr3:uid="{00000000-0010-0000-0000-000004000000}" name="Data" dataDxfId="155"/>
    <tableColumn id="5" xr3:uid="{00000000-0010-0000-0000-000005000000}" name="Horário" dataDxfId="154"/>
    <tableColumn id="2" xr3:uid="{00000000-0010-0000-0000-000002000000}" name="Mandante" dataDxfId="153"/>
    <tableColumn id="6" xr3:uid="{00000000-0010-0000-0000-000006000000}" name="Placar Mandante" dataDxfId="152"/>
    <tableColumn id="7" xr3:uid="{00000000-0010-0000-0000-000007000000}" name="x" dataDxfId="151"/>
    <tableColumn id="8" xr3:uid="{00000000-0010-0000-0000-000008000000}" name="Placar Visitante" dataDxfId="150"/>
    <tableColumn id="3" xr3:uid="{00000000-0010-0000-0000-000003000000}" name="Visitante" dataDxfId="149"/>
    <tableColumn id="9" xr3:uid="{2FDF2181-A2E8-4EC7-A00D-A4E86798D6ED}" name="Pontuação" dataDxfId="148">
      <calculatedColumnFormula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130F0740-AE3E-4E11-91A7-740032E9A6B4}" name="Tabela_33458" displayName="Tabela_33458" ref="A1:I73" totalsRowShown="0" headerRowDxfId="147" dataDxfId="146">
  <tableColumns count="9">
    <tableColumn id="1" xr3:uid="{00000000-0010-0000-0000-000001000000}" name="Hora-Data" dataDxfId="145"/>
    <tableColumn id="4" xr3:uid="{00000000-0010-0000-0000-000004000000}" name="Data" dataDxfId="144"/>
    <tableColumn id="5" xr3:uid="{00000000-0010-0000-0000-000005000000}" name="Horário" dataDxfId="143"/>
    <tableColumn id="2" xr3:uid="{00000000-0010-0000-0000-000002000000}" name="Mandante" dataDxfId="142"/>
    <tableColumn id="6" xr3:uid="{00000000-0010-0000-0000-000006000000}" name="Placar Mandante" dataDxfId="141"/>
    <tableColumn id="7" xr3:uid="{00000000-0010-0000-0000-000007000000}" name="x" dataDxfId="140"/>
    <tableColumn id="8" xr3:uid="{00000000-0010-0000-0000-000008000000}" name="Placar Visitante" dataDxfId="139"/>
    <tableColumn id="3" xr3:uid="{00000000-0010-0000-0000-000003000000}" name="Visitante" dataDxfId="138"/>
    <tableColumn id="9" xr3:uid="{82B8A145-278D-4BE7-AC82-FD4CEB174652}" name="Pontuação" dataDxfId="137">
      <calculatedColumnFormula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BE1A18EE-ABE4-425D-85B3-4590062FE5A3}" name="Tabela_3350" displayName="Tabela_3350" ref="A1:I73" totalsRowShown="0">
  <autoFilter ref="A1:I73" xr:uid="{59B97D97-5ABE-4DF4-8091-6EC2AD5D0D94}"/>
  <tableColumns count="9">
    <tableColumn id="1" xr3:uid="{0E8634B3-C84F-4C7F-9AB0-1A620011A949}" name="Hora-Data" dataDxfId="136"/>
    <tableColumn id="4" xr3:uid="{77CBDF15-B230-4823-B7D7-EEB00A4F93B7}" name="Data" dataDxfId="135"/>
    <tableColumn id="5" xr3:uid="{D1C08CBA-D7C2-4794-ACF9-4308AACD102F}" name="Horário" dataDxfId="134"/>
    <tableColumn id="2" xr3:uid="{1D298750-FD2D-45DA-8F07-D7C3690570F0}" name="Mandante" dataDxfId="133"/>
    <tableColumn id="6" xr3:uid="{F31214CE-D96C-417C-BF61-8848FC54B080}" name="Placar Mandante" dataDxfId="132"/>
    <tableColumn id="7" xr3:uid="{7FC79567-162E-4186-804D-E578C366BA8A}" name="x" dataDxfId="131"/>
    <tableColumn id="8" xr3:uid="{B4EA20F6-6A08-440F-AD3F-70A1C439A690}" name="Placar Visitante" dataDxfId="130"/>
    <tableColumn id="3" xr3:uid="{1DBB6E7A-AAE2-43FF-9AE0-D9A0FFA51A67}" name="Visitante" dataDxfId="129"/>
    <tableColumn id="9" xr3:uid="{46E5FAD5-5584-4213-8595-CCFBE0CEFE32}" name="Pontuação" dataDxfId="128">
      <calculatedColumnFormula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0649E0-2022-46AF-9C09-D30A6427AAA6}" name="Tabela_33505" displayName="Tabela_33505" ref="A1:I73" totalsRowShown="0">
  <autoFilter ref="A1:I73" xr:uid="{59B97D97-5ABE-4DF4-8091-6EC2AD5D0D94}"/>
  <tableColumns count="9">
    <tableColumn id="1" xr3:uid="{E59C8906-DE72-4AFA-B2CB-6C7BB2F5D24D}" name="Hora-Data" dataDxfId="127"/>
    <tableColumn id="4" xr3:uid="{9D1F4D5A-FE09-414F-A2CD-ACFA7361EC1D}" name="Data" dataDxfId="126"/>
    <tableColumn id="5" xr3:uid="{1CA0F1DE-821D-467F-9C28-5073273E98AE}" name="Horário" dataDxfId="125"/>
    <tableColumn id="2" xr3:uid="{241E2C23-5B31-4AA6-87EB-BAB7DEA95482}" name="Mandante" dataDxfId="124"/>
    <tableColumn id="6" xr3:uid="{823B1EC9-608A-40D9-8F1A-05FC70FFC54B}" name="Placar Mandante" dataDxfId="123"/>
    <tableColumn id="7" xr3:uid="{71A228B0-2F6B-4377-B902-6C18F037CEDF}" name="x" dataDxfId="122"/>
    <tableColumn id="8" xr3:uid="{8E5D3AEA-ADF7-49BC-8CE7-AEDD603F9663}" name="Placar Visitante" dataDxfId="121"/>
    <tableColumn id="3" xr3:uid="{49E901AE-BDE2-4D1A-A3E5-1EAF333870F9}" name="Visitante" dataDxfId="120"/>
    <tableColumn id="9" xr3:uid="{4BE3526E-8A8E-410B-92BB-33DA72E4A9BF}" name="Pontuação" dataDxfId="119">
      <calculatedColumnFormula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496589-2007-41C0-9C23-BD707045514D}" name="Tabela_33411" displayName="Tabela_33411" ref="A1:I73" totalsRowShown="0" headerRowDxfId="118" dataDxfId="117">
  <tableColumns count="9">
    <tableColumn id="1" xr3:uid="{41C2B425-D958-48F5-A8F1-09649ADE70E9}" name="Hora-Data" dataDxfId="116"/>
    <tableColumn id="4" xr3:uid="{86D8CFDC-F58C-47B6-B767-E771CE819433}" name="Data" dataDxfId="115"/>
    <tableColumn id="5" xr3:uid="{3A3F1C6D-C2D6-4168-8550-4F117411C32C}" name="Horário" dataDxfId="114"/>
    <tableColumn id="2" xr3:uid="{3AE845E1-F476-4584-B8E1-19705C1C9948}" name="Mandante" dataDxfId="113"/>
    <tableColumn id="6" xr3:uid="{A142002C-01AB-4E0C-8F90-957B687D7D58}" name="Placar Mandante" dataDxfId="112"/>
    <tableColumn id="7" xr3:uid="{B9DE3BDE-DB71-4112-9669-E17276B73660}" name="x" dataDxfId="111"/>
    <tableColumn id="8" xr3:uid="{A88FD3A2-305C-455C-B316-F8545B4B8CD4}" name="Placar Visitante" dataDxfId="110"/>
    <tableColumn id="3" xr3:uid="{00458AEC-53A0-44E2-9D08-71FC46C04F40}" name="Visitante" dataDxfId="109"/>
    <tableColumn id="9" xr3:uid="{CEE9259E-F300-476A-90AD-3FE9A6CF8F2B}" name="Pontuação" dataDxfId="108">
      <calculatedColumnFormula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F2D7F583-E2D4-4981-9E0B-B4C7A8C5C8CE}" name="Tabela_33468" displayName="Tabela_33468" ref="A1:I73" totalsRowShown="0" headerRowDxfId="107" dataDxfId="106">
  <tableColumns count="9">
    <tableColumn id="1" xr3:uid="{00000000-0010-0000-0000-000001000000}" name="Hora-Data" dataDxfId="105"/>
    <tableColumn id="4" xr3:uid="{00000000-0010-0000-0000-000004000000}" name="Data" dataDxfId="104"/>
    <tableColumn id="5" xr3:uid="{00000000-0010-0000-0000-000005000000}" name="Horário" dataDxfId="103"/>
    <tableColumn id="2" xr3:uid="{00000000-0010-0000-0000-000002000000}" name="Mandante" dataDxfId="102"/>
    <tableColumn id="6" xr3:uid="{00000000-0010-0000-0000-000006000000}" name="Placar Mandante" dataDxfId="101"/>
    <tableColumn id="7" xr3:uid="{00000000-0010-0000-0000-000007000000}" name="x" dataDxfId="100"/>
    <tableColumn id="8" xr3:uid="{00000000-0010-0000-0000-000008000000}" name="Placar Visitante" dataDxfId="99"/>
    <tableColumn id="3" xr3:uid="{00000000-0010-0000-0000-000003000000}" name="Visitante" dataDxfId="98"/>
    <tableColumn id="9" xr3:uid="{6E50A033-565E-40C1-BCC7-26F1781B9093}" name="Pontuação" dataDxfId="97">
      <calculatedColumnFormula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4CBB5B99-BF89-43B4-85AB-DECEE83940D9}" name="Tabela_33459" displayName="Tabela_33459" ref="A1:I73" totalsRowShown="0" headerRowDxfId="96" dataDxfId="95">
  <tableColumns count="9">
    <tableColumn id="1" xr3:uid="{41C2B425-D958-48F5-A8F1-09649ADE70E9}" name="Hora-Data" dataDxfId="94"/>
    <tableColumn id="4" xr3:uid="{86D8CFDC-F58C-47B6-B767-E771CE819433}" name="Data" dataDxfId="93"/>
    <tableColumn id="5" xr3:uid="{3A3F1C6D-C2D6-4168-8550-4F117411C32C}" name="Horário" dataDxfId="92"/>
    <tableColumn id="2" xr3:uid="{3AE845E1-F476-4584-B8E1-19705C1C9948}" name="Mandante" dataDxfId="91"/>
    <tableColumn id="6" xr3:uid="{A142002C-01AB-4E0C-8F90-957B687D7D58}" name="Placar Mandante" dataDxfId="90"/>
    <tableColumn id="7" xr3:uid="{B9DE3BDE-DB71-4112-9669-E17276B73660}" name="x" dataDxfId="89"/>
    <tableColumn id="8" xr3:uid="{A88FD3A2-305C-455C-B316-F8545B4B8CD4}" name="Placar Visitante" dataDxfId="88"/>
    <tableColumn id="3" xr3:uid="{00458AEC-53A0-44E2-9D08-71FC46C04F40}" name="Visitante" dataDxfId="87"/>
    <tableColumn id="9" xr3:uid="{7CCF657E-5B91-407A-B2DD-2BF456F2DCEA}" name="Pontuação" dataDxfId="86">
      <calculatedColumnFormula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74BB06-8C85-485D-B3E7-B20AF555E1AD}" name="Tabela_335056" displayName="Tabela_335056" ref="A1:I73" totalsRowShown="0">
  <autoFilter ref="A1:I73" xr:uid="{59B97D97-5ABE-4DF4-8091-6EC2AD5D0D94}"/>
  <tableColumns count="9">
    <tableColumn id="1" xr3:uid="{3A491D73-9B5B-4093-9FE1-60CDEF0B3170}" name="Hora-Data" dataDxfId="85"/>
    <tableColumn id="4" xr3:uid="{431B30FE-2C0B-4CD4-A546-D027B26FAD31}" name="Data" dataDxfId="84"/>
    <tableColumn id="5" xr3:uid="{D3607DAD-0DE6-4F96-995F-918725E8EF8F}" name="Horário" dataDxfId="83"/>
    <tableColumn id="2" xr3:uid="{BD1C06AA-D144-478B-B626-988F4022F709}" name="Mandante" dataDxfId="82"/>
    <tableColumn id="6" xr3:uid="{592D7398-981C-49FE-BA29-CDFC708EB6A3}" name="Placar Mandante" dataDxfId="81"/>
    <tableColumn id="7" xr3:uid="{3BF59F63-EE3D-48C2-A62B-1D8124DC6489}" name="x" dataDxfId="80"/>
    <tableColumn id="8" xr3:uid="{3F378ADF-A508-44C0-95C7-7D47BB0D3C0C}" name="Placar Visitante" dataDxfId="79"/>
    <tableColumn id="3" xr3:uid="{273B9C81-2BFA-437B-99CB-C26C0FA246A2}" name="Visitante" dataDxfId="78"/>
    <tableColumn id="9" xr3:uid="{563F9C88-E20C-414E-9F62-B3A62DBACBCE}" name="Pontuação" dataDxfId="77">
      <calculatedColumnFormula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73F152AF-1A6B-484F-BED3-F366ADC31627}" name="Tabela_33460" displayName="Tabela_33460" ref="A1:I73" totalsRowShown="0" headerRowDxfId="76" dataDxfId="75">
  <tableColumns count="9">
    <tableColumn id="1" xr3:uid="{00000000-0010-0000-0000-000001000000}" name="Hora-Data" dataDxfId="74"/>
    <tableColumn id="4" xr3:uid="{00000000-0010-0000-0000-000004000000}" name="Data" dataDxfId="73"/>
    <tableColumn id="5" xr3:uid="{00000000-0010-0000-0000-000005000000}" name="Horário" dataDxfId="72"/>
    <tableColumn id="2" xr3:uid="{00000000-0010-0000-0000-000002000000}" name="Mandante" dataDxfId="71"/>
    <tableColumn id="6" xr3:uid="{00000000-0010-0000-0000-000006000000}" name="Placar Mandante" dataDxfId="70"/>
    <tableColumn id="7" xr3:uid="{00000000-0010-0000-0000-000007000000}" name="x" dataDxfId="69"/>
    <tableColumn id="8" xr3:uid="{00000000-0010-0000-0000-000008000000}" name="Placar Visitante" dataDxfId="68"/>
    <tableColumn id="3" xr3:uid="{00000000-0010-0000-0000-000003000000}" name="Visitante" dataDxfId="67"/>
    <tableColumn id="9" xr3:uid="{B99BA15C-9A66-4B1B-8998-34B399E2B677}" name="Pontuação" dataDxfId="66">
      <calculatedColumnFormula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B491645E-83CB-4C14-BF62-6C520C2A7E83}" name="Tabela_33461" displayName="Tabela_33461" ref="A1:I73" totalsRowShown="0" headerRowDxfId="65" dataDxfId="64">
  <tableColumns count="9">
    <tableColumn id="1" xr3:uid="{00000000-0010-0000-0000-000001000000}" name="Hora-Data" dataDxfId="63"/>
    <tableColumn id="4" xr3:uid="{00000000-0010-0000-0000-000004000000}" name="Data" dataDxfId="62"/>
    <tableColumn id="5" xr3:uid="{00000000-0010-0000-0000-000005000000}" name="Horário" dataDxfId="61"/>
    <tableColumn id="2" xr3:uid="{00000000-0010-0000-0000-000002000000}" name="Mandante" dataDxfId="60"/>
    <tableColumn id="6" xr3:uid="{00000000-0010-0000-0000-000006000000}" name="Placar Mandante" dataDxfId="59"/>
    <tableColumn id="7" xr3:uid="{00000000-0010-0000-0000-000007000000}" name="x" dataDxfId="58"/>
    <tableColumn id="8" xr3:uid="{00000000-0010-0000-0000-000008000000}" name="Placar Visitante" dataDxfId="57"/>
    <tableColumn id="3" xr3:uid="{00000000-0010-0000-0000-000003000000}" name="Visitante" dataDxfId="56"/>
    <tableColumn id="9" xr3:uid="{F0FA0047-EA07-4D78-BB62-74D274A6FACA}" name="Pontuação" dataDxfId="55">
      <calculatedColumnFormula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899FFFC-8C97-4F1B-ADB2-EC0C867BC265}" name="Tabela_33462" displayName="Tabela_33462" ref="A1:I73" totalsRowShown="0" headerRowDxfId="54" dataDxfId="53">
  <tableColumns count="9">
    <tableColumn id="1" xr3:uid="{41C2B425-D958-48F5-A8F1-09649ADE70E9}" name="Hora-Data" dataDxfId="52"/>
    <tableColumn id="4" xr3:uid="{86D8CFDC-F58C-47B6-B767-E771CE819433}" name="Data" dataDxfId="51"/>
    <tableColumn id="5" xr3:uid="{3A3F1C6D-C2D6-4168-8550-4F117411C32C}" name="Horário" dataDxfId="50"/>
    <tableColumn id="2" xr3:uid="{3AE845E1-F476-4584-B8E1-19705C1C9948}" name="Mandante" dataDxfId="49"/>
    <tableColumn id="6" xr3:uid="{A142002C-01AB-4E0C-8F90-957B687D7D58}" name="Placar Mandante" dataDxfId="48"/>
    <tableColumn id="7" xr3:uid="{B9DE3BDE-DB71-4112-9669-E17276B73660}" name="x" dataDxfId="47"/>
    <tableColumn id="8" xr3:uid="{A88FD3A2-305C-455C-B316-F8545B4B8CD4}" name="Placar Visitante" dataDxfId="46"/>
    <tableColumn id="3" xr3:uid="{00458AEC-53A0-44E2-9D08-71FC46C04F40}" name="Visitante" dataDxfId="45"/>
    <tableColumn id="9" xr3:uid="{EC2EEB2E-633E-4B23-BF4C-19A61C73E401}" name="Pontuação" dataDxfId="44">
      <calculatedColumnFormula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472842D-D1F3-44F3-8B7C-0F612510F9D8}" name="Tabela_33467" displayName="Tabela_33467" ref="A1:I73" totalsRowShown="0" headerRowDxfId="43" dataDxfId="42">
  <tableColumns count="9">
    <tableColumn id="1" xr3:uid="{41C2B425-D958-48F5-A8F1-09649ADE70E9}" name="Hora-Data" dataDxfId="41"/>
    <tableColumn id="4" xr3:uid="{86D8CFDC-F58C-47B6-B767-E771CE819433}" name="Data" dataDxfId="40"/>
    <tableColumn id="5" xr3:uid="{3A3F1C6D-C2D6-4168-8550-4F117411C32C}" name="Horário" dataDxfId="39"/>
    <tableColumn id="2" xr3:uid="{3AE845E1-F476-4584-B8E1-19705C1C9948}" name="Mandante" dataDxfId="38"/>
    <tableColumn id="6" xr3:uid="{A142002C-01AB-4E0C-8F90-957B687D7D58}" name="Placar Mandante" dataDxfId="37"/>
    <tableColumn id="7" xr3:uid="{B9DE3BDE-DB71-4112-9669-E17276B73660}" name="x" dataDxfId="36"/>
    <tableColumn id="8" xr3:uid="{A88FD3A2-305C-455C-B316-F8545B4B8CD4}" name="Placar Visitante" dataDxfId="35"/>
    <tableColumn id="3" xr3:uid="{00458AEC-53A0-44E2-9D08-71FC46C04F40}" name="Visitante" dataDxfId="34"/>
    <tableColumn id="9" xr3:uid="{476BBB8E-9012-4BAB-9B0E-5932B4EA6AAB}" name="Pontuação" dataDxfId="33">
      <calculatedColumnFormula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D1FFC5-4BEF-44B8-83A7-34022E147F0D}" name="Tabela_3350567" displayName="Tabela_3350567" ref="A1:I73" totalsRowShown="0">
  <autoFilter ref="A1:I73" xr:uid="{59B97D97-5ABE-4DF4-8091-6EC2AD5D0D94}"/>
  <tableColumns count="9">
    <tableColumn id="1" xr3:uid="{DB089EEC-44F6-4D43-89C2-EE83189A6BC8}" name="Hora-Data" dataDxfId="32"/>
    <tableColumn id="4" xr3:uid="{236DA8C0-EBDB-4D6B-9420-2F4114365618}" name="Data" dataDxfId="31"/>
    <tableColumn id="5" xr3:uid="{255F502A-3F5E-4F64-BF28-0F40E62B8B52}" name="Horário" dataDxfId="30"/>
    <tableColumn id="2" xr3:uid="{395BFD86-916B-4652-8DF2-2A8AF731DADF}" name="Mandante" dataDxfId="29"/>
    <tableColumn id="6" xr3:uid="{CCDA5824-FF3D-4818-B8F4-5AF70A349806}" name="Placar Mandante" dataDxfId="28"/>
    <tableColumn id="7" xr3:uid="{B353C0EE-8ABB-49C2-98E2-3095F88AF2E9}" name="x" dataDxfId="27"/>
    <tableColumn id="8" xr3:uid="{01973FC8-D8EA-4EC8-A45B-CB368AD9922D}" name="Placar Visitante" dataDxfId="26"/>
    <tableColumn id="3" xr3:uid="{58F1D183-CFC7-406A-9062-1E5DBA98EEF7}" name="Visitante" dataDxfId="25"/>
    <tableColumn id="9" xr3:uid="{C3A4CC31-B443-4310-A3FE-CC57149355E3}" name="Pontuação" dataDxfId="24">
      <calculatedColumnFormula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50F764F3-33B0-46A4-B46B-115DF201674C}" name="Tabela_33463" displayName="Tabela_33463" ref="A1:I73" totalsRowShown="0" headerRowDxfId="23" dataDxfId="22">
  <tableColumns count="9">
    <tableColumn id="1" xr3:uid="{41C2B425-D958-48F5-A8F1-09649ADE70E9}" name="Hora-Data" dataDxfId="21"/>
    <tableColumn id="4" xr3:uid="{86D8CFDC-F58C-47B6-B767-E771CE819433}" name="Data" dataDxfId="20"/>
    <tableColumn id="5" xr3:uid="{3A3F1C6D-C2D6-4168-8550-4F117411C32C}" name="Horário" dataDxfId="19"/>
    <tableColumn id="2" xr3:uid="{3AE845E1-F476-4584-B8E1-19705C1C9948}" name="Mandante" dataDxfId="18"/>
    <tableColumn id="6" xr3:uid="{A142002C-01AB-4E0C-8F90-957B687D7D58}" name="Placar Mandante" dataDxfId="17"/>
    <tableColumn id="7" xr3:uid="{B9DE3BDE-DB71-4112-9669-E17276B73660}" name="x" dataDxfId="16"/>
    <tableColumn id="8" xr3:uid="{A88FD3A2-305C-455C-B316-F8545B4B8CD4}" name="Placar Visitante" dataDxfId="15"/>
    <tableColumn id="3" xr3:uid="{00458AEC-53A0-44E2-9D08-71FC46C04F40}" name="Visitante" dataDxfId="14"/>
    <tableColumn id="9" xr3:uid="{5FF76F97-22DC-4FA8-9A2C-627A8EC0FD44}" name="Pontuação" dataDxfId="13">
      <calculatedColumnFormula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EF99C13F-8B23-418C-8ACC-B78347D5A786}" name="Tabela_33464" displayName="Tabela_33464" ref="A1:I73" totalsRowShown="0" headerRowDxfId="12" dataDxfId="11">
  <tableColumns count="9">
    <tableColumn id="1" xr3:uid="{41C2B425-D958-48F5-A8F1-09649ADE70E9}" name="Hora-Data" dataDxfId="10"/>
    <tableColumn id="4" xr3:uid="{86D8CFDC-F58C-47B6-B767-E771CE819433}" name="Data" dataDxfId="9"/>
    <tableColumn id="5" xr3:uid="{3A3F1C6D-C2D6-4168-8550-4F117411C32C}" name="Horário" dataDxfId="8"/>
    <tableColumn id="2" xr3:uid="{3AE845E1-F476-4584-B8E1-19705C1C9948}" name="Mandante" dataDxfId="7"/>
    <tableColumn id="6" xr3:uid="{A142002C-01AB-4E0C-8F90-957B687D7D58}" name="Placar Mandante" dataDxfId="6"/>
    <tableColumn id="7" xr3:uid="{B9DE3BDE-DB71-4112-9669-E17276B73660}" name="x" dataDxfId="5"/>
    <tableColumn id="8" xr3:uid="{A88FD3A2-305C-455C-B316-F8545B4B8CD4}" name="Placar Visitante" dataDxfId="4"/>
    <tableColumn id="3" xr3:uid="{00458AEC-53A0-44E2-9D08-71FC46C04F40}" name="Visitante" dataDxfId="3"/>
    <tableColumn id="9" xr3:uid="{4DD35B75-D6DE-4820-9A29-02EA330EA16D}" name="Pontuação" dataDxfId="2">
      <calculatedColumnFormula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7.xml"/><Relationship Id="rId1" Type="http://schemas.openxmlformats.org/officeDocument/2006/relationships/printerSettings" Target="../printerSettings/printerSettings3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59C00-9E33-4551-AF3B-DE109E78B11A}">
  <sheetPr codeName="Planilha1">
    <tabColor theme="5"/>
  </sheetPr>
  <dimension ref="A1:M80"/>
  <sheetViews>
    <sheetView showGridLines="0" tabSelected="1" topLeftCell="B1" workbookViewId="0">
      <selection activeCell="E2" sqref="E2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11" max="11" width="7.5546875" bestFit="1" customWidth="1"/>
    <col min="12" max="12" width="22" customWidth="1"/>
    <col min="13" max="13" width="9.77734375" bestFit="1" customWidth="1"/>
  </cols>
  <sheetData>
    <row r="1" spans="1:13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K1" s="7" t="s">
        <v>154</v>
      </c>
      <c r="L1" s="7" t="s">
        <v>149</v>
      </c>
      <c r="M1" s="7" t="s">
        <v>147</v>
      </c>
    </row>
    <row r="2" spans="1:13" x14ac:dyDescent="0.3">
      <c r="A2" t="s">
        <v>5</v>
      </c>
      <c r="B2" t="s">
        <v>8</v>
      </c>
      <c r="C2" t="s">
        <v>9</v>
      </c>
      <c r="D2" t="s">
        <v>6</v>
      </c>
      <c r="E2" s="12"/>
      <c r="F2" s="2" t="s">
        <v>145</v>
      </c>
      <c r="G2" s="12"/>
      <c r="H2" t="s">
        <v>7</v>
      </c>
      <c r="K2" s="8">
        <v>1</v>
      </c>
      <c r="L2" s="8" t="str" cm="1">
        <f t="array" ref="L2:M80">_xlfn.SORTBY(Ranking!A2:B80,Ranking!B2:B80,-1)</f>
        <v>Alessandro Pignata</v>
      </c>
      <c r="M2" s="8">
        <v>0</v>
      </c>
    </row>
    <row r="3" spans="1:13" x14ac:dyDescent="0.3">
      <c r="A3" t="s">
        <v>10</v>
      </c>
      <c r="B3" t="s">
        <v>8</v>
      </c>
      <c r="C3" t="s">
        <v>13</v>
      </c>
      <c r="D3" t="s">
        <v>11</v>
      </c>
      <c r="E3" s="12"/>
      <c r="F3" s="2" t="s">
        <v>145</v>
      </c>
      <c r="G3" s="12"/>
      <c r="H3" t="s">
        <v>12</v>
      </c>
      <c r="K3" s="9">
        <v>2</v>
      </c>
      <c r="L3" s="9" t="str">
        <v>Benjamin Cavallari</v>
      </c>
      <c r="M3" s="9">
        <v>0</v>
      </c>
    </row>
    <row r="4" spans="1:13" x14ac:dyDescent="0.3">
      <c r="A4" t="s">
        <v>14</v>
      </c>
      <c r="B4" t="s">
        <v>17</v>
      </c>
      <c r="C4" t="s">
        <v>9</v>
      </c>
      <c r="D4" t="s">
        <v>15</v>
      </c>
      <c r="E4" s="12"/>
      <c r="F4" s="2" t="s">
        <v>145</v>
      </c>
      <c r="G4" s="12"/>
      <c r="H4" t="s">
        <v>16</v>
      </c>
      <c r="K4" s="8">
        <v>3</v>
      </c>
      <c r="L4" s="8" t="str">
        <v>Bruno Firmino</v>
      </c>
      <c r="M4" s="8">
        <v>0</v>
      </c>
    </row>
    <row r="5" spans="1:13" x14ac:dyDescent="0.3">
      <c r="A5" t="s">
        <v>18</v>
      </c>
      <c r="B5" t="s">
        <v>17</v>
      </c>
      <c r="C5" t="s">
        <v>21</v>
      </c>
      <c r="D5" t="s">
        <v>19</v>
      </c>
      <c r="E5" s="12"/>
      <c r="F5" s="2" t="s">
        <v>145</v>
      </c>
      <c r="G5" s="12"/>
      <c r="H5" t="s">
        <v>20</v>
      </c>
      <c r="K5" s="9">
        <v>4</v>
      </c>
      <c r="L5" s="9" t="str">
        <v>Claudiomar Belao</v>
      </c>
      <c r="M5" s="9">
        <v>0</v>
      </c>
    </row>
    <row r="6" spans="1:13" x14ac:dyDescent="0.3">
      <c r="A6" t="s">
        <v>22</v>
      </c>
      <c r="B6" t="s">
        <v>25</v>
      </c>
      <c r="C6" t="s">
        <v>9</v>
      </c>
      <c r="D6" t="s">
        <v>23</v>
      </c>
      <c r="E6" s="12"/>
      <c r="F6" s="2" t="s">
        <v>145</v>
      </c>
      <c r="G6" s="12"/>
      <c r="H6" t="s">
        <v>24</v>
      </c>
      <c r="K6" s="8">
        <v>5</v>
      </c>
      <c r="L6" s="8" t="str">
        <v>Dirceu Duarte</v>
      </c>
      <c r="M6" s="8">
        <v>0</v>
      </c>
    </row>
    <row r="7" spans="1:13" x14ac:dyDescent="0.3">
      <c r="A7" t="s">
        <v>26</v>
      </c>
      <c r="B7" t="s">
        <v>25</v>
      </c>
      <c r="C7" t="s">
        <v>29</v>
      </c>
      <c r="D7" t="s">
        <v>27</v>
      </c>
      <c r="E7" s="12"/>
      <c r="F7" s="2" t="s">
        <v>145</v>
      </c>
      <c r="G7" s="12"/>
      <c r="H7" t="s">
        <v>28</v>
      </c>
      <c r="K7" s="9">
        <v>6</v>
      </c>
      <c r="L7" s="9" t="str">
        <v>Eduardo Colli</v>
      </c>
      <c r="M7" s="9">
        <v>0</v>
      </c>
    </row>
    <row r="8" spans="1:13" x14ac:dyDescent="0.3">
      <c r="A8" t="s">
        <v>30</v>
      </c>
      <c r="B8" t="s">
        <v>25</v>
      </c>
      <c r="C8" t="s">
        <v>21</v>
      </c>
      <c r="D8" t="s">
        <v>31</v>
      </c>
      <c r="E8" s="12"/>
      <c r="F8" s="2" t="s">
        <v>145</v>
      </c>
      <c r="G8" s="12"/>
      <c r="H8" t="s">
        <v>32</v>
      </c>
      <c r="K8" s="8">
        <v>7</v>
      </c>
      <c r="L8" s="8" t="str">
        <v>Felipe Gambini</v>
      </c>
      <c r="M8" s="8">
        <v>0</v>
      </c>
    </row>
    <row r="9" spans="1:13" x14ac:dyDescent="0.3">
      <c r="A9" t="s">
        <v>33</v>
      </c>
      <c r="B9" t="s">
        <v>36</v>
      </c>
      <c r="C9" t="s">
        <v>37</v>
      </c>
      <c r="D9" t="s">
        <v>34</v>
      </c>
      <c r="E9" s="12"/>
      <c r="F9" s="2" t="s">
        <v>145</v>
      </c>
      <c r="G9" s="12"/>
      <c r="H9" t="s">
        <v>35</v>
      </c>
      <c r="K9" s="9">
        <v>8</v>
      </c>
      <c r="L9" s="9" t="str">
        <v>Gustavo Cavallari</v>
      </c>
      <c r="M9" s="9">
        <v>0</v>
      </c>
    </row>
    <row r="10" spans="1:13" x14ac:dyDescent="0.3">
      <c r="A10" t="s">
        <v>38</v>
      </c>
      <c r="B10" t="s">
        <v>36</v>
      </c>
      <c r="C10" t="s">
        <v>41</v>
      </c>
      <c r="D10" t="s">
        <v>39</v>
      </c>
      <c r="E10" s="12"/>
      <c r="F10" s="2" t="s">
        <v>145</v>
      </c>
      <c r="G10" s="12"/>
      <c r="H10" t="s">
        <v>40</v>
      </c>
      <c r="K10" s="8">
        <v>9</v>
      </c>
      <c r="L10" s="8" t="str">
        <v>Higor Frez</v>
      </c>
      <c r="M10" s="8">
        <v>0</v>
      </c>
    </row>
    <row r="11" spans="1:13" x14ac:dyDescent="0.3">
      <c r="A11" t="s">
        <v>42</v>
      </c>
      <c r="B11" t="s">
        <v>36</v>
      </c>
      <c r="C11" t="s">
        <v>45</v>
      </c>
      <c r="D11" t="s">
        <v>43</v>
      </c>
      <c r="E11" s="12"/>
      <c r="F11" s="2" t="s">
        <v>145</v>
      </c>
      <c r="G11" s="12"/>
      <c r="H11" t="s">
        <v>44</v>
      </c>
      <c r="K11" s="9">
        <v>10</v>
      </c>
      <c r="L11" s="9" t="str">
        <v>Humberto Mozer</v>
      </c>
      <c r="M11" s="9">
        <v>0</v>
      </c>
    </row>
    <row r="12" spans="1:13" x14ac:dyDescent="0.3">
      <c r="A12" t="s">
        <v>46</v>
      </c>
      <c r="B12" t="s">
        <v>36</v>
      </c>
      <c r="C12" t="s">
        <v>49</v>
      </c>
      <c r="D12" t="s">
        <v>47</v>
      </c>
      <c r="E12" s="12"/>
      <c r="F12" s="2" t="s">
        <v>145</v>
      </c>
      <c r="G12" s="12"/>
      <c r="H12" t="s">
        <v>48</v>
      </c>
      <c r="K12" s="8">
        <v>11</v>
      </c>
      <c r="L12" s="8" t="str">
        <v>Julio Lima</v>
      </c>
      <c r="M12" s="8">
        <v>0</v>
      </c>
    </row>
    <row r="13" spans="1:13" x14ac:dyDescent="0.3">
      <c r="A13" t="s">
        <v>50</v>
      </c>
      <c r="B13" t="s">
        <v>36</v>
      </c>
      <c r="C13" t="s">
        <v>13</v>
      </c>
      <c r="D13" t="s">
        <v>51</v>
      </c>
      <c r="E13" s="12"/>
      <c r="F13" s="2" t="s">
        <v>145</v>
      </c>
      <c r="G13" s="12"/>
      <c r="H13" t="s">
        <v>52</v>
      </c>
      <c r="K13" s="9">
        <v>12</v>
      </c>
      <c r="L13" s="9" t="str">
        <v>Lincoln Macena</v>
      </c>
      <c r="M13" s="9">
        <v>0</v>
      </c>
    </row>
    <row r="14" spans="1:13" x14ac:dyDescent="0.3">
      <c r="A14" t="s">
        <v>53</v>
      </c>
      <c r="B14" t="s">
        <v>56</v>
      </c>
      <c r="C14" t="s">
        <v>57</v>
      </c>
      <c r="D14" t="s">
        <v>54</v>
      </c>
      <c r="E14" s="12"/>
      <c r="F14" s="2" t="s">
        <v>145</v>
      </c>
      <c r="G14" s="12"/>
      <c r="H14" t="s">
        <v>55</v>
      </c>
      <c r="K14" s="8">
        <v>13</v>
      </c>
      <c r="L14" s="8" t="str">
        <v>Luan Altimari</v>
      </c>
      <c r="M14" s="8">
        <v>0</v>
      </c>
    </row>
    <row r="15" spans="1:13" x14ac:dyDescent="0.3">
      <c r="A15" t="s">
        <v>58</v>
      </c>
      <c r="B15" t="s">
        <v>56</v>
      </c>
      <c r="C15" t="s">
        <v>9</v>
      </c>
      <c r="D15" t="s">
        <v>59</v>
      </c>
      <c r="E15" s="12"/>
      <c r="F15" s="2" t="s">
        <v>145</v>
      </c>
      <c r="G15" s="12"/>
      <c r="H15" t="s">
        <v>60</v>
      </c>
      <c r="K15" s="9">
        <v>14</v>
      </c>
      <c r="L15" s="9" t="str">
        <v xml:space="preserve">Luis Gustavo Pereira </v>
      </c>
      <c r="M15" s="9">
        <v>0</v>
      </c>
    </row>
    <row r="16" spans="1:13" x14ac:dyDescent="0.3">
      <c r="A16" t="s">
        <v>61</v>
      </c>
      <c r="B16" t="s">
        <v>56</v>
      </c>
      <c r="C16" t="s">
        <v>29</v>
      </c>
      <c r="D16" t="s">
        <v>62</v>
      </c>
      <c r="E16" s="12"/>
      <c r="F16" s="2" t="s">
        <v>145</v>
      </c>
      <c r="G16" s="12"/>
      <c r="H16" t="s">
        <v>63</v>
      </c>
      <c r="K16" s="8">
        <v>15</v>
      </c>
      <c r="L16" s="8" t="str">
        <v>Marcão Penap</v>
      </c>
      <c r="M16" s="8">
        <v>0</v>
      </c>
    </row>
    <row r="17" spans="1:13" x14ac:dyDescent="0.3">
      <c r="A17" t="s">
        <v>64</v>
      </c>
      <c r="B17" t="s">
        <v>56</v>
      </c>
      <c r="C17" t="s">
        <v>21</v>
      </c>
      <c r="D17" t="s">
        <v>65</v>
      </c>
      <c r="E17" s="12"/>
      <c r="F17" s="2" t="s">
        <v>145</v>
      </c>
      <c r="G17" s="12"/>
      <c r="H17" t="s">
        <v>66</v>
      </c>
      <c r="K17" s="9">
        <v>16</v>
      </c>
      <c r="L17" s="9" t="str">
        <v>Rafael Cavallari</v>
      </c>
      <c r="M17" s="9">
        <v>0</v>
      </c>
    </row>
    <row r="18" spans="1:13" x14ac:dyDescent="0.3">
      <c r="A18" t="s">
        <v>67</v>
      </c>
      <c r="B18" t="s">
        <v>70</v>
      </c>
      <c r="C18" t="s">
        <v>9</v>
      </c>
      <c r="D18" t="s">
        <v>68</v>
      </c>
      <c r="E18" s="12"/>
      <c r="F18" s="2" t="s">
        <v>145</v>
      </c>
      <c r="G18" s="12"/>
      <c r="H18" t="s">
        <v>69</v>
      </c>
      <c r="K18" s="8">
        <v>17</v>
      </c>
      <c r="L18" s="8" t="str">
        <v>Ricardo Alonso</v>
      </c>
      <c r="M18" s="8">
        <v>0</v>
      </c>
    </row>
    <row r="19" spans="1:13" x14ac:dyDescent="0.3">
      <c r="A19" t="s">
        <v>71</v>
      </c>
      <c r="B19" t="s">
        <v>70</v>
      </c>
      <c r="C19" t="s">
        <v>29</v>
      </c>
      <c r="D19" t="s">
        <v>72</v>
      </c>
      <c r="E19" s="12"/>
      <c r="F19" s="2" t="s">
        <v>145</v>
      </c>
      <c r="G19" s="12"/>
      <c r="H19" t="s">
        <v>73</v>
      </c>
      <c r="K19" s="9">
        <v>18</v>
      </c>
      <c r="L19" s="9" t="str">
        <v>Rogério Penap</v>
      </c>
      <c r="M19" s="9">
        <v>0</v>
      </c>
    </row>
    <row r="20" spans="1:13" x14ac:dyDescent="0.3">
      <c r="A20" t="s">
        <v>74</v>
      </c>
      <c r="B20" t="s">
        <v>70</v>
      </c>
      <c r="C20" t="s">
        <v>21</v>
      </c>
      <c r="D20" t="s">
        <v>75</v>
      </c>
      <c r="E20" s="12"/>
      <c r="F20" s="2" t="s">
        <v>145</v>
      </c>
      <c r="G20" s="12"/>
      <c r="H20" t="s">
        <v>76</v>
      </c>
      <c r="K20" s="8">
        <v>19</v>
      </c>
      <c r="L20" s="8" t="str">
        <v>Théo Cavallari</v>
      </c>
      <c r="M20" s="8">
        <v>0</v>
      </c>
    </row>
    <row r="21" spans="1:13" x14ac:dyDescent="0.3">
      <c r="A21" t="s">
        <v>77</v>
      </c>
      <c r="B21" t="s">
        <v>80</v>
      </c>
      <c r="C21" t="s">
        <v>37</v>
      </c>
      <c r="D21" t="s">
        <v>78</v>
      </c>
      <c r="E21" s="12"/>
      <c r="F21" s="2" t="s">
        <v>145</v>
      </c>
      <c r="G21" s="12"/>
      <c r="H21" t="s">
        <v>79</v>
      </c>
      <c r="K21" s="9">
        <v>20</v>
      </c>
      <c r="L21" s="9" t="str">
        <v>Wesley Alonso</v>
      </c>
      <c r="M21" s="9">
        <v>0</v>
      </c>
    </row>
    <row r="22" spans="1:13" x14ac:dyDescent="0.3">
      <c r="A22" t="s">
        <v>81</v>
      </c>
      <c r="B22" t="s">
        <v>80</v>
      </c>
      <c r="C22" t="s">
        <v>41</v>
      </c>
      <c r="D22" t="s">
        <v>82</v>
      </c>
      <c r="E22" s="12"/>
      <c r="F22" s="2" t="s">
        <v>145</v>
      </c>
      <c r="G22" s="12"/>
      <c r="H22" t="s">
        <v>83</v>
      </c>
      <c r="K22" s="8">
        <v>21</v>
      </c>
      <c r="L22" s="8" t="str">
        <v>Agnaldo</v>
      </c>
      <c r="M22" s="8">
        <v>0</v>
      </c>
    </row>
    <row r="23" spans="1:13" x14ac:dyDescent="0.3">
      <c r="A23" t="s">
        <v>84</v>
      </c>
      <c r="B23" t="s">
        <v>80</v>
      </c>
      <c r="C23" t="s">
        <v>45</v>
      </c>
      <c r="D23" t="s">
        <v>85</v>
      </c>
      <c r="E23" s="12"/>
      <c r="F23" s="2" t="s">
        <v>145</v>
      </c>
      <c r="G23" s="12"/>
      <c r="H23" t="s">
        <v>86</v>
      </c>
      <c r="K23" s="9">
        <v>22</v>
      </c>
      <c r="L23" s="9" t="str">
        <v>Carlos Malta</v>
      </c>
      <c r="M23" s="9">
        <v>0</v>
      </c>
    </row>
    <row r="24" spans="1:13" x14ac:dyDescent="0.3">
      <c r="A24" t="s">
        <v>87</v>
      </c>
      <c r="B24" t="s">
        <v>80</v>
      </c>
      <c r="C24" t="s">
        <v>49</v>
      </c>
      <c r="D24" t="s">
        <v>88</v>
      </c>
      <c r="E24" s="12"/>
      <c r="F24" s="2" t="s">
        <v>145</v>
      </c>
      <c r="G24" s="12"/>
      <c r="H24" t="s">
        <v>89</v>
      </c>
      <c r="K24" s="8">
        <v>23</v>
      </c>
      <c r="L24" s="8" t="str">
        <v>Carlos (Grilo)</v>
      </c>
      <c r="M24" s="8">
        <v>0</v>
      </c>
    </row>
    <row r="25" spans="1:13" x14ac:dyDescent="0.3">
      <c r="A25" t="s">
        <v>90</v>
      </c>
      <c r="B25" t="s">
        <v>80</v>
      </c>
      <c r="C25" t="s">
        <v>13</v>
      </c>
      <c r="D25" t="s">
        <v>91</v>
      </c>
      <c r="E25" s="12"/>
      <c r="F25" s="2" t="s">
        <v>145</v>
      </c>
      <c r="G25" s="12"/>
      <c r="H25" t="s">
        <v>92</v>
      </c>
      <c r="K25" s="9">
        <v>24</v>
      </c>
      <c r="L25" s="9" t="str">
        <v>Carlos Rocha (Carlinho)</v>
      </c>
      <c r="M25" s="9">
        <v>0</v>
      </c>
    </row>
    <row r="26" spans="1:13" x14ac:dyDescent="0.3">
      <c r="A26" t="s">
        <v>93</v>
      </c>
      <c r="B26" t="s">
        <v>94</v>
      </c>
      <c r="C26" t="s">
        <v>57</v>
      </c>
      <c r="D26" t="s">
        <v>12</v>
      </c>
      <c r="E26" s="12"/>
      <c r="F26" s="2" t="s">
        <v>145</v>
      </c>
      <c r="G26" s="12"/>
      <c r="H26" t="s">
        <v>7</v>
      </c>
      <c r="K26" s="8">
        <v>25</v>
      </c>
      <c r="L26" s="8" t="str">
        <v>Daniel Batista</v>
      </c>
      <c r="M26" s="8">
        <v>0</v>
      </c>
    </row>
    <row r="27" spans="1:13" x14ac:dyDescent="0.3">
      <c r="A27" t="s">
        <v>95</v>
      </c>
      <c r="B27" t="s">
        <v>94</v>
      </c>
      <c r="C27" t="s">
        <v>9</v>
      </c>
      <c r="D27" t="s">
        <v>24</v>
      </c>
      <c r="E27" s="12"/>
      <c r="F27" s="2" t="s">
        <v>145</v>
      </c>
      <c r="G27" s="12"/>
      <c r="H27" t="s">
        <v>16</v>
      </c>
      <c r="K27" s="9">
        <v>26</v>
      </c>
      <c r="L27" s="9" t="str">
        <v>Daniel Marroni</v>
      </c>
      <c r="M27" s="9">
        <v>0</v>
      </c>
    </row>
    <row r="28" spans="1:13" x14ac:dyDescent="0.3">
      <c r="A28" t="s">
        <v>96</v>
      </c>
      <c r="B28" t="s">
        <v>94</v>
      </c>
      <c r="C28" t="s">
        <v>29</v>
      </c>
      <c r="D28" t="s">
        <v>15</v>
      </c>
      <c r="E28" s="12"/>
      <c r="F28" s="2" t="s">
        <v>145</v>
      </c>
      <c r="G28" s="12"/>
      <c r="H28" t="s">
        <v>23</v>
      </c>
      <c r="K28" s="8">
        <v>27</v>
      </c>
      <c r="L28" s="8" t="str">
        <v>Dercio Batista</v>
      </c>
      <c r="M28" s="8">
        <v>0</v>
      </c>
    </row>
    <row r="29" spans="1:13" x14ac:dyDescent="0.3">
      <c r="A29" t="s">
        <v>97</v>
      </c>
      <c r="B29" t="s">
        <v>94</v>
      </c>
      <c r="C29" t="s">
        <v>21</v>
      </c>
      <c r="D29" t="s">
        <v>6</v>
      </c>
      <c r="E29" s="12"/>
      <c r="F29" s="2" t="s">
        <v>145</v>
      </c>
      <c r="G29" s="12"/>
      <c r="H29" t="s">
        <v>11</v>
      </c>
      <c r="K29" s="9">
        <v>28</v>
      </c>
      <c r="L29" s="9" t="str">
        <v>Dionisio Junior</v>
      </c>
      <c r="M29" s="9">
        <v>0</v>
      </c>
    </row>
    <row r="30" spans="1:13" x14ac:dyDescent="0.3">
      <c r="A30" t="s">
        <v>98</v>
      </c>
      <c r="B30" t="s">
        <v>99</v>
      </c>
      <c r="C30" t="s">
        <v>9</v>
      </c>
      <c r="D30" t="s">
        <v>19</v>
      </c>
      <c r="E30" s="12"/>
      <c r="F30" s="2" t="s">
        <v>145</v>
      </c>
      <c r="G30" s="12"/>
      <c r="H30" t="s">
        <v>34</v>
      </c>
      <c r="K30" s="8">
        <v>29</v>
      </c>
      <c r="L30" s="8" t="str">
        <v>Dirce Batista</v>
      </c>
      <c r="M30" s="8">
        <v>0</v>
      </c>
    </row>
    <row r="31" spans="1:13" x14ac:dyDescent="0.3">
      <c r="A31" t="s">
        <v>100</v>
      </c>
      <c r="B31" t="s">
        <v>99</v>
      </c>
      <c r="C31" t="s">
        <v>29</v>
      </c>
      <c r="D31" t="s">
        <v>32</v>
      </c>
      <c r="E31" s="12"/>
      <c r="F31" s="2" t="s">
        <v>145</v>
      </c>
      <c r="G31" s="12"/>
      <c r="H31" t="s">
        <v>28</v>
      </c>
      <c r="K31" s="9">
        <v>30</v>
      </c>
      <c r="L31" s="9" t="str">
        <v>Eneias Aguiar</v>
      </c>
      <c r="M31" s="9">
        <v>0</v>
      </c>
    </row>
    <row r="32" spans="1:13" x14ac:dyDescent="0.3">
      <c r="A32" t="s">
        <v>101</v>
      </c>
      <c r="B32" t="s">
        <v>99</v>
      </c>
      <c r="C32" t="s">
        <v>102</v>
      </c>
      <c r="D32" t="s">
        <v>27</v>
      </c>
      <c r="E32" s="12"/>
      <c r="F32" s="2" t="s">
        <v>145</v>
      </c>
      <c r="G32" s="12"/>
      <c r="H32" t="s">
        <v>31</v>
      </c>
      <c r="K32" s="8">
        <v>31</v>
      </c>
      <c r="L32" s="8" t="str">
        <v>Gabriel Cavallari</v>
      </c>
      <c r="M32" s="8">
        <v>0</v>
      </c>
    </row>
    <row r="33" spans="1:13" x14ac:dyDescent="0.3">
      <c r="A33" t="s">
        <v>103</v>
      </c>
      <c r="B33" t="s">
        <v>104</v>
      </c>
      <c r="C33" t="s">
        <v>105</v>
      </c>
      <c r="D33" t="s">
        <v>35</v>
      </c>
      <c r="E33" s="12"/>
      <c r="F33" s="2" t="s">
        <v>145</v>
      </c>
      <c r="G33" s="12"/>
      <c r="H33" t="s">
        <v>20</v>
      </c>
      <c r="K33" s="9">
        <v>32</v>
      </c>
      <c r="L33" s="9" t="str">
        <v>Gabriel Rubinho</v>
      </c>
      <c r="M33" s="9">
        <v>0</v>
      </c>
    </row>
    <row r="34" spans="1:13" x14ac:dyDescent="0.3">
      <c r="A34" t="s">
        <v>106</v>
      </c>
      <c r="B34" t="s">
        <v>104</v>
      </c>
      <c r="C34" t="s">
        <v>41</v>
      </c>
      <c r="D34" t="s">
        <v>43</v>
      </c>
      <c r="E34" s="12"/>
      <c r="F34" s="2" t="s">
        <v>145</v>
      </c>
      <c r="G34" s="12"/>
      <c r="H34" t="s">
        <v>51</v>
      </c>
      <c r="K34" s="8">
        <v>33</v>
      </c>
      <c r="L34" s="8" t="str">
        <v>Iann Altimari</v>
      </c>
      <c r="M34" s="8">
        <v>0</v>
      </c>
    </row>
    <row r="35" spans="1:13" x14ac:dyDescent="0.3">
      <c r="A35" t="s">
        <v>107</v>
      </c>
      <c r="B35" t="s">
        <v>104</v>
      </c>
      <c r="C35" t="s">
        <v>45</v>
      </c>
      <c r="D35" t="s">
        <v>39</v>
      </c>
      <c r="E35" s="12"/>
      <c r="F35" s="2" t="s">
        <v>145</v>
      </c>
      <c r="G35" s="12"/>
      <c r="H35" t="s">
        <v>47</v>
      </c>
      <c r="K35" s="9">
        <v>34</v>
      </c>
      <c r="L35" s="9" t="str">
        <v>Jean Rocha</v>
      </c>
      <c r="M35" s="9">
        <v>0</v>
      </c>
    </row>
    <row r="36" spans="1:13" x14ac:dyDescent="0.3">
      <c r="A36" t="s">
        <v>108</v>
      </c>
      <c r="B36" t="s">
        <v>104</v>
      </c>
      <c r="C36" t="s">
        <v>109</v>
      </c>
      <c r="D36" t="s">
        <v>48</v>
      </c>
      <c r="E36" s="12"/>
      <c r="F36" s="2" t="s">
        <v>145</v>
      </c>
      <c r="G36" s="12"/>
      <c r="H36" t="s">
        <v>40</v>
      </c>
      <c r="K36" s="8">
        <v>35</v>
      </c>
      <c r="L36" s="8" t="str">
        <v>Jonatas Andrade</v>
      </c>
      <c r="M36" s="8">
        <v>0</v>
      </c>
    </row>
    <row r="37" spans="1:13" x14ac:dyDescent="0.3">
      <c r="A37" t="s">
        <v>110</v>
      </c>
      <c r="B37" t="s">
        <v>111</v>
      </c>
      <c r="C37" t="s">
        <v>37</v>
      </c>
      <c r="D37" t="s">
        <v>52</v>
      </c>
      <c r="E37" s="12"/>
      <c r="F37" s="2" t="s">
        <v>145</v>
      </c>
      <c r="G37" s="12"/>
      <c r="H37" t="s">
        <v>44</v>
      </c>
      <c r="K37" s="9">
        <v>36</v>
      </c>
      <c r="L37" s="9" t="str">
        <v>Junior (Goiaba)</v>
      </c>
      <c r="M37" s="9">
        <v>0</v>
      </c>
    </row>
    <row r="38" spans="1:13" x14ac:dyDescent="0.3">
      <c r="A38" t="s">
        <v>112</v>
      </c>
      <c r="B38" t="s">
        <v>111</v>
      </c>
      <c r="C38" t="s">
        <v>57</v>
      </c>
      <c r="D38" t="s">
        <v>54</v>
      </c>
      <c r="E38" s="12"/>
      <c r="F38" s="2" t="s">
        <v>145</v>
      </c>
      <c r="G38" s="12"/>
      <c r="H38" t="s">
        <v>62</v>
      </c>
      <c r="K38" s="8">
        <v>37</v>
      </c>
      <c r="L38" s="8" t="str">
        <v>Kayky Rocha</v>
      </c>
      <c r="M38" s="8">
        <v>0</v>
      </c>
    </row>
    <row r="39" spans="1:13" x14ac:dyDescent="0.3">
      <c r="A39" t="s">
        <v>113</v>
      </c>
      <c r="B39" t="s">
        <v>111</v>
      </c>
      <c r="C39" t="s">
        <v>9</v>
      </c>
      <c r="D39" t="s">
        <v>59</v>
      </c>
      <c r="E39" s="12"/>
      <c r="F39" s="2" t="s">
        <v>145</v>
      </c>
      <c r="G39" s="12"/>
      <c r="H39" t="s">
        <v>65</v>
      </c>
      <c r="K39" s="9">
        <v>38</v>
      </c>
      <c r="L39" s="9" t="str">
        <v>Lucas Altimari</v>
      </c>
      <c r="M39" s="9">
        <v>0</v>
      </c>
    </row>
    <row r="40" spans="1:13" x14ac:dyDescent="0.3">
      <c r="A40" t="s">
        <v>114</v>
      </c>
      <c r="B40" t="s">
        <v>111</v>
      </c>
      <c r="C40" t="s">
        <v>29</v>
      </c>
      <c r="D40" t="s">
        <v>63</v>
      </c>
      <c r="E40" s="12"/>
      <c r="F40" s="2" t="s">
        <v>145</v>
      </c>
      <c r="G40" s="12"/>
      <c r="H40" t="s">
        <v>55</v>
      </c>
      <c r="K40" s="8">
        <v>39</v>
      </c>
      <c r="L40" s="8" t="str">
        <v>Luis Alfredo</v>
      </c>
      <c r="M40" s="8">
        <v>0</v>
      </c>
    </row>
    <row r="41" spans="1:13" x14ac:dyDescent="0.3">
      <c r="A41" t="s">
        <v>115</v>
      </c>
      <c r="B41" t="s">
        <v>111</v>
      </c>
      <c r="C41" t="s">
        <v>21</v>
      </c>
      <c r="D41" t="s">
        <v>66</v>
      </c>
      <c r="E41" s="12"/>
      <c r="F41" s="2" t="s">
        <v>145</v>
      </c>
      <c r="G41" s="12"/>
      <c r="H41" t="s">
        <v>60</v>
      </c>
      <c r="K41" s="9">
        <v>40</v>
      </c>
      <c r="L41" s="9" t="str">
        <v>Marcos Ferreira</v>
      </c>
      <c r="M41" s="9">
        <v>0</v>
      </c>
    </row>
    <row r="42" spans="1:13" x14ac:dyDescent="0.3">
      <c r="A42" t="s">
        <v>116</v>
      </c>
      <c r="B42" t="s">
        <v>117</v>
      </c>
      <c r="C42" t="s">
        <v>41</v>
      </c>
      <c r="D42" t="s">
        <v>75</v>
      </c>
      <c r="E42" s="12"/>
      <c r="F42" s="2" t="s">
        <v>145</v>
      </c>
      <c r="G42" s="12"/>
      <c r="H42" t="s">
        <v>78</v>
      </c>
      <c r="K42" s="8">
        <v>41</v>
      </c>
      <c r="L42" s="8" t="str">
        <v>Marlon Batista</v>
      </c>
      <c r="M42" s="8">
        <v>0</v>
      </c>
    </row>
    <row r="43" spans="1:13" x14ac:dyDescent="0.3">
      <c r="A43" t="s">
        <v>118</v>
      </c>
      <c r="B43" t="s">
        <v>117</v>
      </c>
      <c r="C43" t="s">
        <v>119</v>
      </c>
      <c r="D43" t="s">
        <v>68</v>
      </c>
      <c r="E43" s="12"/>
      <c r="F43" s="2" t="s">
        <v>145</v>
      </c>
      <c r="G43" s="12"/>
      <c r="H43" t="s">
        <v>72</v>
      </c>
      <c r="K43" s="9">
        <v>42</v>
      </c>
      <c r="L43" s="9" t="str">
        <v>Murilo Ferreira</v>
      </c>
      <c r="M43" s="9">
        <v>0</v>
      </c>
    </row>
    <row r="44" spans="1:13" x14ac:dyDescent="0.3">
      <c r="A44" t="s">
        <v>120</v>
      </c>
      <c r="B44" t="s">
        <v>117</v>
      </c>
      <c r="C44" t="s">
        <v>109</v>
      </c>
      <c r="D44" t="s">
        <v>73</v>
      </c>
      <c r="E44" s="12"/>
      <c r="F44" s="2" t="s">
        <v>145</v>
      </c>
      <c r="G44" s="12"/>
      <c r="H44" t="s">
        <v>69</v>
      </c>
      <c r="K44" s="8">
        <v>43</v>
      </c>
      <c r="L44" s="8" t="str">
        <v>Murilo Rocha</v>
      </c>
      <c r="M44" s="8">
        <v>0</v>
      </c>
    </row>
    <row r="45" spans="1:13" x14ac:dyDescent="0.3">
      <c r="A45" t="s">
        <v>121</v>
      </c>
      <c r="B45" t="s">
        <v>122</v>
      </c>
      <c r="C45" t="s">
        <v>105</v>
      </c>
      <c r="D45" t="s">
        <v>79</v>
      </c>
      <c r="E45" s="12"/>
      <c r="F45" s="2" t="s">
        <v>145</v>
      </c>
      <c r="G45" s="12"/>
      <c r="H45" t="s">
        <v>76</v>
      </c>
      <c r="K45" s="9">
        <v>44</v>
      </c>
      <c r="L45" s="9" t="str">
        <v>Ortega</v>
      </c>
      <c r="M45" s="9">
        <v>0</v>
      </c>
    </row>
    <row r="46" spans="1:13" x14ac:dyDescent="0.3">
      <c r="A46" t="s">
        <v>123</v>
      </c>
      <c r="B46" t="s">
        <v>122</v>
      </c>
      <c r="C46" t="s">
        <v>41</v>
      </c>
      <c r="D46" t="s">
        <v>82</v>
      </c>
      <c r="E46" s="12"/>
      <c r="F46" s="2" t="s">
        <v>145</v>
      </c>
      <c r="G46" s="12"/>
      <c r="H46" t="s">
        <v>91</v>
      </c>
      <c r="K46" s="8">
        <v>45</v>
      </c>
      <c r="L46" s="8" t="str">
        <v xml:space="preserve">Osmar Locatelli </v>
      </c>
      <c r="M46" s="8">
        <v>0</v>
      </c>
    </row>
    <row r="47" spans="1:13" x14ac:dyDescent="0.3">
      <c r="A47" t="s">
        <v>124</v>
      </c>
      <c r="B47" t="s">
        <v>122</v>
      </c>
      <c r="C47" t="s">
        <v>45</v>
      </c>
      <c r="D47" t="s">
        <v>85</v>
      </c>
      <c r="E47" s="12"/>
      <c r="F47" s="2" t="s">
        <v>145</v>
      </c>
      <c r="G47" s="12"/>
      <c r="H47" t="s">
        <v>88</v>
      </c>
      <c r="K47" s="9">
        <v>46</v>
      </c>
      <c r="L47" s="9" t="str">
        <v>Paulinho Altimari</v>
      </c>
      <c r="M47" s="9">
        <v>0</v>
      </c>
    </row>
    <row r="48" spans="1:13" x14ac:dyDescent="0.3">
      <c r="A48" t="s">
        <v>125</v>
      </c>
      <c r="B48" t="s">
        <v>122</v>
      </c>
      <c r="C48" t="s">
        <v>49</v>
      </c>
      <c r="D48" t="s">
        <v>89</v>
      </c>
      <c r="E48" s="12"/>
      <c r="F48" s="2" t="s">
        <v>145</v>
      </c>
      <c r="G48" s="12"/>
      <c r="H48" t="s">
        <v>86</v>
      </c>
      <c r="K48" s="8">
        <v>47</v>
      </c>
      <c r="L48" s="8" t="str">
        <v>Pedro Almeida</v>
      </c>
      <c r="M48" s="8">
        <v>0</v>
      </c>
    </row>
    <row r="49" spans="1:13" x14ac:dyDescent="0.3">
      <c r="A49" t="s">
        <v>126</v>
      </c>
      <c r="B49" t="s">
        <v>122</v>
      </c>
      <c r="C49" t="s">
        <v>13</v>
      </c>
      <c r="D49" t="s">
        <v>92</v>
      </c>
      <c r="E49" s="12"/>
      <c r="F49" s="2" t="s">
        <v>145</v>
      </c>
      <c r="G49" s="12"/>
      <c r="H49" t="s">
        <v>83</v>
      </c>
      <c r="K49" s="9">
        <v>48</v>
      </c>
      <c r="L49" s="9" t="str">
        <v>Rafael de Oliveira</v>
      </c>
      <c r="M49" s="9">
        <v>0</v>
      </c>
    </row>
    <row r="50" spans="1:13" x14ac:dyDescent="0.3">
      <c r="A50" t="s">
        <v>127</v>
      </c>
      <c r="B50" t="s">
        <v>128</v>
      </c>
      <c r="C50" t="s">
        <v>9</v>
      </c>
      <c r="D50" t="s">
        <v>16</v>
      </c>
      <c r="E50" s="12"/>
      <c r="F50" s="2" t="s">
        <v>145</v>
      </c>
      <c r="G50" s="12"/>
      <c r="H50" t="s">
        <v>23</v>
      </c>
      <c r="K50" s="8">
        <v>49</v>
      </c>
      <c r="L50" s="8" t="str">
        <v>Renato Locatelli</v>
      </c>
      <c r="M50" s="8">
        <v>0</v>
      </c>
    </row>
    <row r="51" spans="1:13" x14ac:dyDescent="0.3">
      <c r="A51" t="s">
        <v>127</v>
      </c>
      <c r="B51" t="s">
        <v>128</v>
      </c>
      <c r="C51" t="s">
        <v>9</v>
      </c>
      <c r="D51" t="s">
        <v>24</v>
      </c>
      <c r="E51" s="12"/>
      <c r="F51" s="2" t="s">
        <v>145</v>
      </c>
      <c r="G51" s="12"/>
      <c r="H51" t="s">
        <v>15</v>
      </c>
      <c r="K51" s="9">
        <v>50</v>
      </c>
      <c r="L51" s="9" t="str">
        <v xml:space="preserve">Tadeu </v>
      </c>
      <c r="M51" s="9">
        <v>0</v>
      </c>
    </row>
    <row r="52" spans="1:13" x14ac:dyDescent="0.3">
      <c r="A52" t="s">
        <v>129</v>
      </c>
      <c r="B52" t="s">
        <v>128</v>
      </c>
      <c r="C52" t="s">
        <v>29</v>
      </c>
      <c r="D52" t="s">
        <v>32</v>
      </c>
      <c r="E52" s="12"/>
      <c r="F52" s="2" t="s">
        <v>145</v>
      </c>
      <c r="G52" s="12"/>
      <c r="H52" t="s">
        <v>27</v>
      </c>
      <c r="K52" s="8">
        <v>51</v>
      </c>
      <c r="L52" s="8" t="str">
        <v>Thiago Alberto</v>
      </c>
      <c r="M52" s="8">
        <v>0</v>
      </c>
    </row>
    <row r="53" spans="1:13" x14ac:dyDescent="0.3">
      <c r="A53" t="s">
        <v>129</v>
      </c>
      <c r="B53" t="s">
        <v>128</v>
      </c>
      <c r="C53" t="s">
        <v>29</v>
      </c>
      <c r="D53" t="s">
        <v>28</v>
      </c>
      <c r="E53" s="12"/>
      <c r="F53" s="2" t="s">
        <v>145</v>
      </c>
      <c r="G53" s="12"/>
      <c r="H53" t="s">
        <v>31</v>
      </c>
      <c r="K53" s="9">
        <v>52</v>
      </c>
      <c r="L53" s="9" t="str">
        <v>Thiago de Paula</v>
      </c>
      <c r="M53" s="9">
        <v>0</v>
      </c>
    </row>
    <row r="54" spans="1:13" x14ac:dyDescent="0.3">
      <c r="A54" t="s">
        <v>130</v>
      </c>
      <c r="B54" t="s">
        <v>128</v>
      </c>
      <c r="C54" t="s">
        <v>21</v>
      </c>
      <c r="D54" t="s">
        <v>7</v>
      </c>
      <c r="E54" s="12"/>
      <c r="F54" s="2" t="s">
        <v>145</v>
      </c>
      <c r="G54" s="12"/>
      <c r="H54" t="s">
        <v>11</v>
      </c>
      <c r="K54" s="8">
        <v>53</v>
      </c>
      <c r="L54" s="8" t="str">
        <v>Tiago Marques</v>
      </c>
      <c r="M54" s="8">
        <v>0</v>
      </c>
    </row>
    <row r="55" spans="1:13" x14ac:dyDescent="0.3">
      <c r="A55" t="s">
        <v>130</v>
      </c>
      <c r="B55" t="s">
        <v>128</v>
      </c>
      <c r="C55" t="s">
        <v>21</v>
      </c>
      <c r="D55" t="s">
        <v>12</v>
      </c>
      <c r="E55" s="12"/>
      <c r="F55" s="2" t="s">
        <v>145</v>
      </c>
      <c r="G55" s="12"/>
      <c r="H55" t="s">
        <v>6</v>
      </c>
      <c r="K55" s="9">
        <v>54</v>
      </c>
      <c r="L55" s="9" t="str">
        <v>Willian Mochi</v>
      </c>
      <c r="M55" s="9">
        <v>0</v>
      </c>
    </row>
    <row r="56" spans="1:13" x14ac:dyDescent="0.3">
      <c r="A56" t="s">
        <v>131</v>
      </c>
      <c r="B56" t="s">
        <v>132</v>
      </c>
      <c r="C56" t="s">
        <v>45</v>
      </c>
      <c r="D56" t="s">
        <v>40</v>
      </c>
      <c r="E56" s="12"/>
      <c r="F56" s="2" t="s">
        <v>145</v>
      </c>
      <c r="G56" s="12"/>
      <c r="H56" t="s">
        <v>47</v>
      </c>
      <c r="K56" s="8">
        <v>55</v>
      </c>
      <c r="L56" s="8" t="str">
        <v>Wilson Beninca</v>
      </c>
      <c r="M56" s="8">
        <v>0</v>
      </c>
    </row>
    <row r="57" spans="1:13" x14ac:dyDescent="0.3">
      <c r="A57" t="s">
        <v>131</v>
      </c>
      <c r="B57" t="s">
        <v>132</v>
      </c>
      <c r="C57" t="s">
        <v>45</v>
      </c>
      <c r="D57" t="s">
        <v>48</v>
      </c>
      <c r="E57" s="12"/>
      <c r="F57" s="2" t="s">
        <v>145</v>
      </c>
      <c r="G57" s="12"/>
      <c r="H57" t="s">
        <v>39</v>
      </c>
      <c r="K57" s="9">
        <v>56</v>
      </c>
      <c r="L57" s="9" t="str">
        <v>Fabio Resende</v>
      </c>
      <c r="M57" s="9">
        <v>0</v>
      </c>
    </row>
    <row r="58" spans="1:13" x14ac:dyDescent="0.3">
      <c r="A58" t="s">
        <v>133</v>
      </c>
      <c r="B58" t="s">
        <v>132</v>
      </c>
      <c r="C58" t="s">
        <v>49</v>
      </c>
      <c r="D58" t="s">
        <v>44</v>
      </c>
      <c r="E58" s="12"/>
      <c r="F58" s="2" t="s">
        <v>145</v>
      </c>
      <c r="G58" s="12"/>
      <c r="H58" t="s">
        <v>51</v>
      </c>
      <c r="K58" s="8">
        <v>57</v>
      </c>
      <c r="L58" s="8" t="str">
        <v>Luiz Belmiro</v>
      </c>
      <c r="M58" s="8">
        <v>0</v>
      </c>
    </row>
    <row r="59" spans="1:13" x14ac:dyDescent="0.3">
      <c r="A59" t="s">
        <v>133</v>
      </c>
      <c r="B59" t="s">
        <v>132</v>
      </c>
      <c r="C59" t="s">
        <v>49</v>
      </c>
      <c r="D59" t="s">
        <v>52</v>
      </c>
      <c r="E59" s="12"/>
      <c r="F59" s="2" t="s">
        <v>145</v>
      </c>
      <c r="G59" s="12"/>
      <c r="H59" t="s">
        <v>43</v>
      </c>
      <c r="K59" s="9">
        <v>58</v>
      </c>
      <c r="L59" s="9" t="str">
        <v>Vitor Oliveira</v>
      </c>
      <c r="M59" s="9">
        <v>0</v>
      </c>
    </row>
    <row r="60" spans="1:13" x14ac:dyDescent="0.3">
      <c r="A60" t="s">
        <v>134</v>
      </c>
      <c r="B60" t="s">
        <v>132</v>
      </c>
      <c r="C60" t="s">
        <v>13</v>
      </c>
      <c r="D60" t="s">
        <v>20</v>
      </c>
      <c r="E60" s="12"/>
      <c r="F60" s="2" t="s">
        <v>145</v>
      </c>
      <c r="G60" s="12"/>
      <c r="H60" t="s">
        <v>34</v>
      </c>
      <c r="K60" s="8">
        <v>59</v>
      </c>
      <c r="L60" s="8" t="str">
        <v xml:space="preserve">Rordão </v>
      </c>
      <c r="M60" s="8">
        <v>0</v>
      </c>
    </row>
    <row r="61" spans="1:13" x14ac:dyDescent="0.3">
      <c r="A61" t="s">
        <v>134</v>
      </c>
      <c r="B61" t="s">
        <v>132</v>
      </c>
      <c r="C61" t="s">
        <v>13</v>
      </c>
      <c r="D61" t="s">
        <v>35</v>
      </c>
      <c r="E61" s="12"/>
      <c r="F61" s="2" t="s">
        <v>145</v>
      </c>
      <c r="G61" s="12"/>
      <c r="H61" t="s">
        <v>19</v>
      </c>
      <c r="K61" s="9">
        <v>60</v>
      </c>
      <c r="L61" s="9" t="str">
        <v>Henrique Landin</v>
      </c>
      <c r="M61" s="9">
        <v>0</v>
      </c>
    </row>
    <row r="62" spans="1:13" x14ac:dyDescent="0.3">
      <c r="A62" t="s">
        <v>135</v>
      </c>
      <c r="B62" t="s">
        <v>136</v>
      </c>
      <c r="C62" t="s">
        <v>9</v>
      </c>
      <c r="D62" t="s">
        <v>73</v>
      </c>
      <c r="E62" s="12"/>
      <c r="F62" s="2" t="s">
        <v>145</v>
      </c>
      <c r="G62" s="12"/>
      <c r="H62" t="s">
        <v>68</v>
      </c>
      <c r="K62" s="8">
        <v>61</v>
      </c>
      <c r="L62" s="8" t="str">
        <v>Lucas Mota</v>
      </c>
      <c r="M62" s="8">
        <v>0</v>
      </c>
    </row>
    <row r="63" spans="1:13" x14ac:dyDescent="0.3">
      <c r="A63" t="s">
        <v>135</v>
      </c>
      <c r="B63" t="s">
        <v>136</v>
      </c>
      <c r="C63" t="s">
        <v>9</v>
      </c>
      <c r="D63" t="s">
        <v>69</v>
      </c>
      <c r="E63" s="12"/>
      <c r="F63" s="2" t="s">
        <v>145</v>
      </c>
      <c r="G63" s="12"/>
      <c r="H63" t="s">
        <v>72</v>
      </c>
      <c r="K63" s="9">
        <v>62</v>
      </c>
      <c r="L63" s="9" t="str">
        <v>Allan Ribeiro</v>
      </c>
      <c r="M63" s="9">
        <v>0</v>
      </c>
    </row>
    <row r="64" spans="1:13" x14ac:dyDescent="0.3">
      <c r="A64" t="s">
        <v>137</v>
      </c>
      <c r="B64" t="s">
        <v>136</v>
      </c>
      <c r="C64" t="s">
        <v>109</v>
      </c>
      <c r="D64" t="s">
        <v>55</v>
      </c>
      <c r="E64" s="12"/>
      <c r="F64" s="2" t="s">
        <v>145</v>
      </c>
      <c r="G64" s="12"/>
      <c r="H64" t="s">
        <v>62</v>
      </c>
      <c r="K64" s="8">
        <v>63</v>
      </c>
      <c r="L64" s="8" t="str">
        <v>Breno</v>
      </c>
      <c r="M64" s="8">
        <v>0</v>
      </c>
    </row>
    <row r="65" spans="1:13" x14ac:dyDescent="0.3">
      <c r="A65" t="s">
        <v>137</v>
      </c>
      <c r="B65" t="s">
        <v>136</v>
      </c>
      <c r="C65" t="s">
        <v>109</v>
      </c>
      <c r="D65" t="s">
        <v>63</v>
      </c>
      <c r="E65" s="12"/>
      <c r="F65" s="2" t="s">
        <v>145</v>
      </c>
      <c r="G65" s="12"/>
      <c r="H65" t="s">
        <v>54</v>
      </c>
      <c r="K65" s="9">
        <v>64</v>
      </c>
      <c r="L65" s="9" t="str">
        <v>Danilo Devico</v>
      </c>
      <c r="M65" s="9">
        <v>0</v>
      </c>
    </row>
    <row r="66" spans="1:13" x14ac:dyDescent="0.3">
      <c r="A66" t="s">
        <v>138</v>
      </c>
      <c r="B66" t="s">
        <v>139</v>
      </c>
      <c r="C66" t="s">
        <v>105</v>
      </c>
      <c r="D66" t="s">
        <v>60</v>
      </c>
      <c r="E66" s="12"/>
      <c r="F66" s="2" t="s">
        <v>145</v>
      </c>
      <c r="G66" s="12"/>
      <c r="H66" t="s">
        <v>65</v>
      </c>
      <c r="K66" s="8">
        <v>65</v>
      </c>
      <c r="L66" s="8" t="str">
        <v>Kim</v>
      </c>
      <c r="M66" s="8">
        <v>0</v>
      </c>
    </row>
    <row r="67" spans="1:13" x14ac:dyDescent="0.3">
      <c r="A67" t="s">
        <v>138</v>
      </c>
      <c r="B67" t="s">
        <v>139</v>
      </c>
      <c r="C67" t="s">
        <v>105</v>
      </c>
      <c r="D67" t="s">
        <v>66</v>
      </c>
      <c r="E67" s="12"/>
      <c r="F67" s="2" t="s">
        <v>145</v>
      </c>
      <c r="G67" s="12"/>
      <c r="H67" t="s">
        <v>59</v>
      </c>
      <c r="K67" s="9">
        <v>66</v>
      </c>
      <c r="L67" s="9" t="str">
        <v>Lucas Aguiar</v>
      </c>
      <c r="M67" s="9">
        <v>0</v>
      </c>
    </row>
    <row r="68" spans="1:13" x14ac:dyDescent="0.3">
      <c r="A68" t="s">
        <v>140</v>
      </c>
      <c r="B68" t="s">
        <v>139</v>
      </c>
      <c r="C68" t="s">
        <v>119</v>
      </c>
      <c r="D68" t="s">
        <v>86</v>
      </c>
      <c r="E68" s="12"/>
      <c r="F68" s="2" t="s">
        <v>145</v>
      </c>
      <c r="G68" s="12"/>
      <c r="H68" t="s">
        <v>88</v>
      </c>
      <c r="K68" s="8">
        <v>67</v>
      </c>
      <c r="L68" s="8" t="str">
        <v>Luiz Fernando</v>
      </c>
      <c r="M68" s="8">
        <v>0</v>
      </c>
    </row>
    <row r="69" spans="1:13" x14ac:dyDescent="0.3">
      <c r="A69" t="s">
        <v>140</v>
      </c>
      <c r="B69" t="s">
        <v>139</v>
      </c>
      <c r="C69" t="s">
        <v>119</v>
      </c>
      <c r="D69" t="s">
        <v>89</v>
      </c>
      <c r="E69" s="12"/>
      <c r="F69" s="2" t="s">
        <v>145</v>
      </c>
      <c r="G69" s="12"/>
      <c r="H69" t="s">
        <v>85</v>
      </c>
      <c r="K69" s="9">
        <v>68</v>
      </c>
      <c r="L69" s="9" t="str">
        <v>Paulo Lalli</v>
      </c>
      <c r="M69" s="9">
        <v>0</v>
      </c>
    </row>
    <row r="70" spans="1:13" x14ac:dyDescent="0.3">
      <c r="A70" t="s">
        <v>141</v>
      </c>
      <c r="B70" t="s">
        <v>139</v>
      </c>
      <c r="C70" t="s">
        <v>142</v>
      </c>
      <c r="D70" t="s">
        <v>92</v>
      </c>
      <c r="E70" s="12"/>
      <c r="F70" s="2" t="s">
        <v>145</v>
      </c>
      <c r="G70" s="12"/>
      <c r="H70" t="s">
        <v>82</v>
      </c>
      <c r="K70" s="8">
        <v>69</v>
      </c>
      <c r="L70" s="8" t="str">
        <v>Ronan</v>
      </c>
      <c r="M70" s="8">
        <v>0</v>
      </c>
    </row>
    <row r="71" spans="1:13" x14ac:dyDescent="0.3">
      <c r="A71" t="s">
        <v>141</v>
      </c>
      <c r="B71" t="s">
        <v>139</v>
      </c>
      <c r="C71" t="s">
        <v>142</v>
      </c>
      <c r="D71" t="s">
        <v>83</v>
      </c>
      <c r="E71" s="12"/>
      <c r="F71" s="2" t="s">
        <v>145</v>
      </c>
      <c r="G71" s="12"/>
      <c r="H71" t="s">
        <v>91</v>
      </c>
      <c r="K71" s="8">
        <v>70</v>
      </c>
      <c r="L71" s="9" t="str">
        <v>Raul</v>
      </c>
      <c r="M71" s="9">
        <v>0</v>
      </c>
    </row>
    <row r="72" spans="1:13" x14ac:dyDescent="0.3">
      <c r="A72" t="s">
        <v>143</v>
      </c>
      <c r="B72" t="s">
        <v>139</v>
      </c>
      <c r="C72" t="s">
        <v>13</v>
      </c>
      <c r="D72" t="s">
        <v>76</v>
      </c>
      <c r="E72" s="12"/>
      <c r="F72" s="2" t="s">
        <v>145</v>
      </c>
      <c r="G72" s="12"/>
      <c r="H72" t="s">
        <v>78</v>
      </c>
      <c r="K72" s="9">
        <v>71</v>
      </c>
      <c r="L72" s="8" t="str">
        <v>Mauro Paladino</v>
      </c>
      <c r="M72" s="8">
        <v>0</v>
      </c>
    </row>
    <row r="73" spans="1:13" x14ac:dyDescent="0.3">
      <c r="A73" t="s">
        <v>143</v>
      </c>
      <c r="B73" t="s">
        <v>139</v>
      </c>
      <c r="C73" t="s">
        <v>13</v>
      </c>
      <c r="D73" t="s">
        <v>79</v>
      </c>
      <c r="E73" s="12"/>
      <c r="F73" s="2" t="s">
        <v>145</v>
      </c>
      <c r="G73" s="12"/>
      <c r="H73" t="s">
        <v>75</v>
      </c>
      <c r="K73" s="8">
        <v>72</v>
      </c>
      <c r="L73" s="9" t="str">
        <v>Emerson Batta</v>
      </c>
      <c r="M73" s="9">
        <v>0</v>
      </c>
    </row>
    <row r="74" spans="1:13" x14ac:dyDescent="0.3">
      <c r="K74" s="8">
        <v>73</v>
      </c>
      <c r="L74" s="8" t="str">
        <v>Caique Pereira</v>
      </c>
      <c r="M74" s="8">
        <v>0</v>
      </c>
    </row>
    <row r="75" spans="1:13" x14ac:dyDescent="0.3">
      <c r="K75" s="9"/>
      <c r="L75" s="9">
        <v>0</v>
      </c>
      <c r="M75" s="9">
        <v>0</v>
      </c>
    </row>
    <row r="76" spans="1:13" x14ac:dyDescent="0.3">
      <c r="K76" s="8"/>
      <c r="L76" s="8">
        <v>0</v>
      </c>
      <c r="M76" s="8">
        <v>0</v>
      </c>
    </row>
    <row r="77" spans="1:13" x14ac:dyDescent="0.3">
      <c r="K77" s="9"/>
      <c r="L77" s="9">
        <v>0</v>
      </c>
      <c r="M77" s="9">
        <v>0</v>
      </c>
    </row>
    <row r="78" spans="1:13" x14ac:dyDescent="0.3">
      <c r="L78">
        <v>0</v>
      </c>
      <c r="M78">
        <v>0</v>
      </c>
    </row>
    <row r="79" spans="1:13" x14ac:dyDescent="0.3">
      <c r="L79">
        <v>0</v>
      </c>
      <c r="M79">
        <v>0</v>
      </c>
    </row>
    <row r="80" spans="1:13" x14ac:dyDescent="0.3">
      <c r="L80">
        <v>0</v>
      </c>
      <c r="M80">
        <v>0</v>
      </c>
    </row>
  </sheetData>
  <sheetProtection algorithmName="SHA-512" hashValue="gjiMCKNBX4X0cZpO9UvCxrrrh7OxEV8BDVplnqpmUA/HaHQV3RFsORs6v60O6t+NGcRAIZQhvussoVE3drAtog==" saltValue="LMmcVCprGB+QLu6V8YeqCA==" spinCount="100000" sheet="1" objects="1" scenarios="1" selectLockedCells="1"/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1B4B-8368-4E67-935F-4DC1B354ADE0}">
  <sheetPr codeName="Planilha3">
    <tabColor theme="9"/>
  </sheetPr>
  <dimension ref="A1:B74"/>
  <sheetViews>
    <sheetView topLeftCell="A37" workbookViewId="0">
      <selection activeCell="B78" sqref="B78"/>
    </sheetView>
  </sheetViews>
  <sheetFormatPr defaultRowHeight="14.4" x14ac:dyDescent="0.3"/>
  <cols>
    <col min="1" max="1" width="20.109375" bestFit="1" customWidth="1"/>
    <col min="2" max="2" width="14.21875" bestFit="1" customWidth="1"/>
  </cols>
  <sheetData>
    <row r="1" spans="1:2" x14ac:dyDescent="0.3">
      <c r="A1" t="s">
        <v>149</v>
      </c>
      <c r="B1" t="s">
        <v>150</v>
      </c>
    </row>
    <row r="2" spans="1:2" x14ac:dyDescent="0.3">
      <c r="A2" t="s">
        <v>155</v>
      </c>
      <c r="B2" s="2">
        <f>'Alessandro Pignata'!K2</f>
        <v>0</v>
      </c>
    </row>
    <row r="3" spans="1:2" x14ac:dyDescent="0.3">
      <c r="A3" t="s">
        <v>156</v>
      </c>
      <c r="B3" s="2">
        <f>'Benjamin Cavallari'!K2</f>
        <v>0</v>
      </c>
    </row>
    <row r="4" spans="1:2" x14ac:dyDescent="0.3">
      <c r="A4" t="s">
        <v>157</v>
      </c>
      <c r="B4" s="2">
        <f>'Bruno Firmino'!K2</f>
        <v>0</v>
      </c>
    </row>
    <row r="5" spans="1:2" x14ac:dyDescent="0.3">
      <c r="A5" t="s">
        <v>158</v>
      </c>
      <c r="B5" s="2">
        <f>'Claudiomar Belao'!K2</f>
        <v>0</v>
      </c>
    </row>
    <row r="6" spans="1:2" x14ac:dyDescent="0.3">
      <c r="A6" t="s">
        <v>159</v>
      </c>
      <c r="B6" s="2">
        <f>'Dirceu Duarte'!K2</f>
        <v>0</v>
      </c>
    </row>
    <row r="7" spans="1:2" x14ac:dyDescent="0.3">
      <c r="A7" t="s">
        <v>160</v>
      </c>
      <c r="B7" s="2">
        <f>'Eduardo Colli'!K2</f>
        <v>0</v>
      </c>
    </row>
    <row r="8" spans="1:2" x14ac:dyDescent="0.3">
      <c r="A8" t="s">
        <v>161</v>
      </c>
      <c r="B8" s="2">
        <f>'Felipe Gambini'!K2</f>
        <v>0</v>
      </c>
    </row>
    <row r="9" spans="1:2" x14ac:dyDescent="0.3">
      <c r="A9" t="s">
        <v>162</v>
      </c>
      <c r="B9" s="2">
        <f>'Gustavo Cavallari'!K2</f>
        <v>0</v>
      </c>
    </row>
    <row r="10" spans="1:2" x14ac:dyDescent="0.3">
      <c r="A10" t="s">
        <v>163</v>
      </c>
      <c r="B10" s="2">
        <f>'Higor Frez'!K2</f>
        <v>0</v>
      </c>
    </row>
    <row r="11" spans="1:2" x14ac:dyDescent="0.3">
      <c r="A11" s="10" t="s">
        <v>164</v>
      </c>
      <c r="B11" s="2">
        <f>'Humberto Mozer'!K2</f>
        <v>0</v>
      </c>
    </row>
    <row r="12" spans="1:2" x14ac:dyDescent="0.3">
      <c r="A12" s="10" t="s">
        <v>165</v>
      </c>
      <c r="B12" s="2">
        <f>'Julio Lima'!K2</f>
        <v>0</v>
      </c>
    </row>
    <row r="13" spans="1:2" x14ac:dyDescent="0.3">
      <c r="A13" s="10" t="s">
        <v>166</v>
      </c>
      <c r="B13" s="2">
        <f>'Lincoln Macena'!K2</f>
        <v>0</v>
      </c>
    </row>
    <row r="14" spans="1:2" x14ac:dyDescent="0.3">
      <c r="A14" s="10" t="s">
        <v>167</v>
      </c>
      <c r="B14" s="2">
        <f>'Luan Altimari'!K2</f>
        <v>0</v>
      </c>
    </row>
    <row r="15" spans="1:2" x14ac:dyDescent="0.3">
      <c r="A15" s="10" t="s">
        <v>192</v>
      </c>
      <c r="B15" s="2">
        <f>'Luis Gustavo Pereira'!K2</f>
        <v>0</v>
      </c>
    </row>
    <row r="16" spans="1:2" x14ac:dyDescent="0.3">
      <c r="A16" s="10" t="s">
        <v>191</v>
      </c>
      <c r="B16" s="2">
        <f>'Marcão Penap'!K2</f>
        <v>0</v>
      </c>
    </row>
    <row r="17" spans="1:2" x14ac:dyDescent="0.3">
      <c r="A17" s="10" t="s">
        <v>148</v>
      </c>
      <c r="B17" s="2">
        <f>'Rafael Cavallari'!K2</f>
        <v>0</v>
      </c>
    </row>
    <row r="18" spans="1:2" x14ac:dyDescent="0.3">
      <c r="A18" s="10" t="s">
        <v>168</v>
      </c>
      <c r="B18" s="2">
        <f>'Ricardo Alonso'!K2</f>
        <v>0</v>
      </c>
    </row>
    <row r="19" spans="1:2" x14ac:dyDescent="0.3">
      <c r="A19" s="10" t="s">
        <v>169</v>
      </c>
      <c r="B19" s="2">
        <f>'Rogério Penap'!K2</f>
        <v>0</v>
      </c>
    </row>
    <row r="20" spans="1:2" x14ac:dyDescent="0.3">
      <c r="A20" s="10" t="s">
        <v>170</v>
      </c>
      <c r="B20" s="2">
        <f>'Théo Cavallari'!K2</f>
        <v>0</v>
      </c>
    </row>
    <row r="21" spans="1:2" x14ac:dyDescent="0.3">
      <c r="A21" s="10" t="s">
        <v>171</v>
      </c>
      <c r="B21" s="2">
        <f>'Wesley Alonso'!K2</f>
        <v>0</v>
      </c>
    </row>
    <row r="22" spans="1:2" x14ac:dyDescent="0.3">
      <c r="A22" t="s">
        <v>173</v>
      </c>
      <c r="B22" s="18">
        <f>Agnaldo!K2</f>
        <v>0</v>
      </c>
    </row>
    <row r="23" spans="1:2" x14ac:dyDescent="0.3">
      <c r="A23" t="s">
        <v>174</v>
      </c>
      <c r="B23" s="18">
        <f>'Carlos Malta'!K2</f>
        <v>0</v>
      </c>
    </row>
    <row r="24" spans="1:2" x14ac:dyDescent="0.3">
      <c r="A24" t="s">
        <v>175</v>
      </c>
      <c r="B24" s="18">
        <f>'Carlos (Grilo)'!K2</f>
        <v>0</v>
      </c>
    </row>
    <row r="25" spans="1:2" x14ac:dyDescent="0.3">
      <c r="A25" t="s">
        <v>176</v>
      </c>
      <c r="B25" s="18">
        <f>'Carlos Rocha (Carlinho)'!K2</f>
        <v>0</v>
      </c>
    </row>
    <row r="26" spans="1:2" x14ac:dyDescent="0.3">
      <c r="A26" t="s">
        <v>177</v>
      </c>
      <c r="B26" s="18">
        <f>'Daniel Batista'!K2</f>
        <v>0</v>
      </c>
    </row>
    <row r="27" spans="1:2" x14ac:dyDescent="0.3">
      <c r="A27" t="s">
        <v>178</v>
      </c>
      <c r="B27" s="18">
        <f>'Daniel Marroni'!K2</f>
        <v>0</v>
      </c>
    </row>
    <row r="28" spans="1:2" x14ac:dyDescent="0.3">
      <c r="A28" t="s">
        <v>179</v>
      </c>
      <c r="B28" s="18">
        <f>'Dercio Batista'!K2</f>
        <v>0</v>
      </c>
    </row>
    <row r="29" spans="1:2" x14ac:dyDescent="0.3">
      <c r="A29" t="s">
        <v>180</v>
      </c>
      <c r="B29" s="18">
        <f>'Dionisio Junior'!K2</f>
        <v>0</v>
      </c>
    </row>
    <row r="30" spans="1:2" x14ac:dyDescent="0.3">
      <c r="A30" t="s">
        <v>181</v>
      </c>
      <c r="B30" s="18">
        <f>'Dirce Batista'!K2</f>
        <v>0</v>
      </c>
    </row>
    <row r="31" spans="1:2" x14ac:dyDescent="0.3">
      <c r="A31" t="s">
        <v>182</v>
      </c>
      <c r="B31" s="18">
        <f>'Eneias Aguiar'!K2</f>
        <v>0</v>
      </c>
    </row>
    <row r="32" spans="1:2" x14ac:dyDescent="0.3">
      <c r="A32" t="s">
        <v>183</v>
      </c>
      <c r="B32" s="18">
        <f>'Gabriel Cavallari'!K2</f>
        <v>0</v>
      </c>
    </row>
    <row r="33" spans="1:2" x14ac:dyDescent="0.3">
      <c r="A33" t="s">
        <v>184</v>
      </c>
      <c r="B33" s="18">
        <f>'Gabriel Rubinho'!K2</f>
        <v>0</v>
      </c>
    </row>
    <row r="34" spans="1:2" x14ac:dyDescent="0.3">
      <c r="A34" t="s">
        <v>185</v>
      </c>
      <c r="B34" s="18">
        <f>'Iann Altimari'!K2</f>
        <v>0</v>
      </c>
    </row>
    <row r="35" spans="1:2" x14ac:dyDescent="0.3">
      <c r="A35" t="s">
        <v>186</v>
      </c>
      <c r="B35" s="18">
        <f>'Jean Rocha'!K2</f>
        <v>0</v>
      </c>
    </row>
    <row r="36" spans="1:2" x14ac:dyDescent="0.3">
      <c r="A36" t="s">
        <v>187</v>
      </c>
      <c r="B36" s="18">
        <f>'Jonatas Andrade'!K2</f>
        <v>0</v>
      </c>
    </row>
    <row r="37" spans="1:2" x14ac:dyDescent="0.3">
      <c r="A37" t="s">
        <v>188</v>
      </c>
      <c r="B37" s="18">
        <f>'Junior (Goiaba)'!K2</f>
        <v>0</v>
      </c>
    </row>
    <row r="38" spans="1:2" x14ac:dyDescent="0.3">
      <c r="A38" t="s">
        <v>189</v>
      </c>
      <c r="B38" s="18">
        <f>'Kayky Rocha'!K2</f>
        <v>0</v>
      </c>
    </row>
    <row r="39" spans="1:2" x14ac:dyDescent="0.3">
      <c r="A39" t="s">
        <v>190</v>
      </c>
      <c r="B39" s="18">
        <f>'Lucas Altimari'!K2</f>
        <v>0</v>
      </c>
    </row>
    <row r="40" spans="1:2" x14ac:dyDescent="0.3">
      <c r="A40" t="s">
        <v>193</v>
      </c>
      <c r="B40" s="18">
        <f>'Luis Alfredo'!K2</f>
        <v>0</v>
      </c>
    </row>
    <row r="41" spans="1:2" x14ac:dyDescent="0.3">
      <c r="A41" t="s">
        <v>194</v>
      </c>
      <c r="B41" s="18">
        <f>'Marcos Ferreira'!K2</f>
        <v>0</v>
      </c>
    </row>
    <row r="42" spans="1:2" x14ac:dyDescent="0.3">
      <c r="A42" t="s">
        <v>195</v>
      </c>
      <c r="B42" s="18">
        <f>'Marlon Batista'!K2</f>
        <v>0</v>
      </c>
    </row>
    <row r="43" spans="1:2" x14ac:dyDescent="0.3">
      <c r="A43" t="s">
        <v>196</v>
      </c>
      <c r="B43" s="18">
        <f>'Murilo Ferreira'!K2</f>
        <v>0</v>
      </c>
    </row>
    <row r="44" spans="1:2" x14ac:dyDescent="0.3">
      <c r="A44" t="s">
        <v>197</v>
      </c>
      <c r="B44" s="18">
        <f>'Murilo Rocha'!K2</f>
        <v>0</v>
      </c>
    </row>
    <row r="45" spans="1:2" x14ac:dyDescent="0.3">
      <c r="A45" t="s">
        <v>198</v>
      </c>
      <c r="B45" s="18">
        <f>Ortega!K2</f>
        <v>0</v>
      </c>
    </row>
    <row r="46" spans="1:2" x14ac:dyDescent="0.3">
      <c r="A46" t="s">
        <v>199</v>
      </c>
      <c r="B46" s="18">
        <f>'Osmar Locatelli'!K2</f>
        <v>0</v>
      </c>
    </row>
    <row r="47" spans="1:2" x14ac:dyDescent="0.3">
      <c r="A47" t="s">
        <v>200</v>
      </c>
      <c r="B47" s="18">
        <f>'Paulinho Altimari'!K2</f>
        <v>0</v>
      </c>
    </row>
    <row r="48" spans="1:2" x14ac:dyDescent="0.3">
      <c r="A48" t="s">
        <v>201</v>
      </c>
      <c r="B48" s="18">
        <f>'Pedro Almeida'!K2</f>
        <v>0</v>
      </c>
    </row>
    <row r="49" spans="1:2" x14ac:dyDescent="0.3">
      <c r="A49" t="s">
        <v>202</v>
      </c>
      <c r="B49" s="18">
        <f>'Rafael de Oliveira'!K2</f>
        <v>0</v>
      </c>
    </row>
    <row r="50" spans="1:2" x14ac:dyDescent="0.3">
      <c r="A50" t="s">
        <v>203</v>
      </c>
      <c r="B50" s="18">
        <f>'Renato Locatelli'!K2</f>
        <v>0</v>
      </c>
    </row>
    <row r="51" spans="1:2" x14ac:dyDescent="0.3">
      <c r="A51" t="s">
        <v>204</v>
      </c>
      <c r="B51" s="18">
        <f>Tadeu!K2</f>
        <v>0</v>
      </c>
    </row>
    <row r="52" spans="1:2" x14ac:dyDescent="0.3">
      <c r="A52" t="s">
        <v>205</v>
      </c>
      <c r="B52" s="18">
        <f>'Thiago Alberto'!K2</f>
        <v>0</v>
      </c>
    </row>
    <row r="53" spans="1:2" x14ac:dyDescent="0.3">
      <c r="A53" t="s">
        <v>206</v>
      </c>
      <c r="B53" s="18">
        <f>'Thiago de Paula'!K2</f>
        <v>0</v>
      </c>
    </row>
    <row r="54" spans="1:2" x14ac:dyDescent="0.3">
      <c r="A54" t="s">
        <v>207</v>
      </c>
      <c r="B54" s="18">
        <f>'Tiago Marques'!K2</f>
        <v>0</v>
      </c>
    </row>
    <row r="55" spans="1:2" x14ac:dyDescent="0.3">
      <c r="A55" t="s">
        <v>208</v>
      </c>
      <c r="B55" s="18">
        <f>'Willian Mochi'!K2</f>
        <v>0</v>
      </c>
    </row>
    <row r="56" spans="1:2" x14ac:dyDescent="0.3">
      <c r="A56" t="s">
        <v>209</v>
      </c>
      <c r="B56" s="18">
        <f>'Wilson Beninca'!K2</f>
        <v>0</v>
      </c>
    </row>
    <row r="57" spans="1:2" x14ac:dyDescent="0.3">
      <c r="A57" t="s">
        <v>210</v>
      </c>
      <c r="B57" s="18">
        <f>'Fabio Resende'!K2</f>
        <v>0</v>
      </c>
    </row>
    <row r="58" spans="1:2" x14ac:dyDescent="0.3">
      <c r="A58" t="s">
        <v>211</v>
      </c>
      <c r="B58" s="18">
        <f>'Luiz Belmiro'!K2</f>
        <v>0</v>
      </c>
    </row>
    <row r="59" spans="1:2" x14ac:dyDescent="0.3">
      <c r="A59" t="s">
        <v>212</v>
      </c>
      <c r="B59" s="18">
        <f>'Vitor Oliveira'!K2</f>
        <v>0</v>
      </c>
    </row>
    <row r="60" spans="1:2" x14ac:dyDescent="0.3">
      <c r="A60" t="s">
        <v>213</v>
      </c>
      <c r="B60" s="18">
        <f>Rordão!K2</f>
        <v>0</v>
      </c>
    </row>
    <row r="61" spans="1:2" x14ac:dyDescent="0.3">
      <c r="A61" t="s">
        <v>214</v>
      </c>
      <c r="B61" s="18">
        <f>'Henrique Landin'!K2</f>
        <v>0</v>
      </c>
    </row>
    <row r="62" spans="1:2" x14ac:dyDescent="0.3">
      <c r="A62" t="s">
        <v>215</v>
      </c>
      <c r="B62" s="18">
        <f>'Lucas Mota'!K2</f>
        <v>0</v>
      </c>
    </row>
    <row r="63" spans="1:2" x14ac:dyDescent="0.3">
      <c r="A63" t="s">
        <v>216</v>
      </c>
      <c r="B63" s="18">
        <f>'Allan Ribeiro'!K2</f>
        <v>0</v>
      </c>
    </row>
    <row r="64" spans="1:2" x14ac:dyDescent="0.3">
      <c r="A64" t="s">
        <v>217</v>
      </c>
      <c r="B64" s="18">
        <f>Breno!K2</f>
        <v>0</v>
      </c>
    </row>
    <row r="65" spans="1:2" x14ac:dyDescent="0.3">
      <c r="A65" t="s">
        <v>218</v>
      </c>
      <c r="B65" s="18">
        <f>'Danilo Devico'!K2</f>
        <v>0</v>
      </c>
    </row>
    <row r="66" spans="1:2" x14ac:dyDescent="0.3">
      <c r="A66" t="s">
        <v>219</v>
      </c>
      <c r="B66" s="18">
        <f>Kim!K2</f>
        <v>0</v>
      </c>
    </row>
    <row r="67" spans="1:2" x14ac:dyDescent="0.3">
      <c r="A67" t="s">
        <v>220</v>
      </c>
      <c r="B67" s="18">
        <f>'Lucas Aguiar'!K2</f>
        <v>0</v>
      </c>
    </row>
    <row r="68" spans="1:2" x14ac:dyDescent="0.3">
      <c r="A68" t="s">
        <v>221</v>
      </c>
      <c r="B68" s="18">
        <f>'Luiz Fernando'!K2</f>
        <v>0</v>
      </c>
    </row>
    <row r="69" spans="1:2" x14ac:dyDescent="0.3">
      <c r="A69" t="s">
        <v>222</v>
      </c>
      <c r="B69" s="18">
        <f>'Paulo Lalli'!K2</f>
        <v>0</v>
      </c>
    </row>
    <row r="70" spans="1:2" x14ac:dyDescent="0.3">
      <c r="A70" t="s">
        <v>223</v>
      </c>
      <c r="B70" s="18">
        <f>Ronan!K2</f>
        <v>0</v>
      </c>
    </row>
    <row r="71" spans="1:2" x14ac:dyDescent="0.3">
      <c r="A71" t="s">
        <v>224</v>
      </c>
      <c r="B71" s="18">
        <f>Raul!K2</f>
        <v>0</v>
      </c>
    </row>
    <row r="72" spans="1:2" x14ac:dyDescent="0.3">
      <c r="A72" t="s">
        <v>225</v>
      </c>
      <c r="B72" s="18">
        <f>'Mauro Paladino'!K2</f>
        <v>0</v>
      </c>
    </row>
    <row r="73" spans="1:2" x14ac:dyDescent="0.3">
      <c r="A73" t="s">
        <v>226</v>
      </c>
      <c r="B73" s="18">
        <f>'Emerson Batta'!K2</f>
        <v>0</v>
      </c>
    </row>
    <row r="74" spans="1:2" x14ac:dyDescent="0.3">
      <c r="A74" t="s">
        <v>227</v>
      </c>
      <c r="B74" s="18">
        <f>'Caique Pereira'!K2</f>
        <v>0</v>
      </c>
    </row>
  </sheetData>
  <hyperlinks>
    <hyperlink ref="A11" location="'Humberto Mozer'!A1" display="Humberto Mozer" xr:uid="{3EC6AD9D-1F8E-4A37-B895-DB70FDF343CA}"/>
    <hyperlink ref="A12" location="'Julio Lima'!A1" display="Julio Lima" xr:uid="{9D465C13-C4E6-4708-9EA2-6557D45B8172}"/>
    <hyperlink ref="A13" location="'Lincoln Macena'!A1" display="Lincoln Macena" xr:uid="{5847B02D-0B15-421D-AE1D-D5A14D25C1DD}"/>
    <hyperlink ref="A14" location="'Luan Altimari'!A1" display="Luan Altimari" xr:uid="{463323D5-BD04-4659-9710-B83E286C7D99}"/>
    <hyperlink ref="A15" location="'Luis Gustavo'!A1" display="Luis Gustavo" xr:uid="{09E6D3EB-329E-4BC1-9631-317CF6A5EF0D}"/>
    <hyperlink ref="A16" location="Marcão!A1" display="Marcão" xr:uid="{FD3D4A84-2442-4436-A18F-A72A537C77AF}"/>
    <hyperlink ref="A17" location="'Rafael Cavallari'!A1" display="Rafael Cavallari" xr:uid="{827EFDC5-6520-47C2-AF4B-02285B9B5002}"/>
    <hyperlink ref="A18" location="'Ricardo Alonso'!A1" display="Ricardo Alonso" xr:uid="{DA9A0385-A095-4C18-8A2E-515581A6FDE0}"/>
    <hyperlink ref="A19" location="'Rogério Penap'!A1" display="Rogério Penap" xr:uid="{CCC08672-DF77-44F6-9F2E-F90BECA45D89}"/>
    <hyperlink ref="A20" location="'Théo Cavallari'!A1" display="Théo Cavallari" xr:uid="{0B1C1FC5-6833-43FA-BDC7-D284BB66DE8A}"/>
    <hyperlink ref="A21" location="'Wesley Alonso'!A1" display="Wesley Alonso" xr:uid="{D74E2043-992E-4B38-9F43-28261101AAE2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FE4A-6CA3-4DD0-AB9B-88A87DA94CC9}">
  <sheetPr codeName="Planilha2">
    <tabColor rgb="FFFFC000"/>
  </sheetPr>
  <dimension ref="A1:K73"/>
  <sheetViews>
    <sheetView topLeftCell="B1" workbookViewId="0">
      <selection activeCell="K9" sqref="K9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10" max="10" width="46.44140625" customWidth="1"/>
    <col min="11" max="11" width="10.2187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2"/>
      <c r="F2" s="2" t="s">
        <v>145</v>
      </c>
      <c r="G2" s="2"/>
      <c r="H2" t="s">
        <v>7</v>
      </c>
      <c r="J2" s="1" t="s">
        <v>151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2"/>
      <c r="F3" s="2" t="s">
        <v>145</v>
      </c>
      <c r="G3" s="2"/>
      <c r="H3" t="s">
        <v>12</v>
      </c>
      <c r="J3" s="4"/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2"/>
      <c r="F4" s="2" t="s">
        <v>145</v>
      </c>
      <c r="G4" s="2"/>
      <c r="H4" t="s">
        <v>16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2"/>
      <c r="F5" s="2" t="s">
        <v>145</v>
      </c>
      <c r="G5" s="2"/>
      <c r="H5" t="s">
        <v>20</v>
      </c>
      <c r="J5" s="1" t="s">
        <v>172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2"/>
      <c r="F6" s="2" t="s">
        <v>145</v>
      </c>
      <c r="G6" s="2"/>
      <c r="H6" t="s">
        <v>24</v>
      </c>
      <c r="J6" s="4" t="s">
        <v>152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2"/>
      <c r="F7" s="2" t="s">
        <v>145</v>
      </c>
      <c r="G7" s="2"/>
      <c r="H7" t="s">
        <v>28</v>
      </c>
    </row>
    <row r="8" spans="1:11" ht="18" x14ac:dyDescent="0.3">
      <c r="A8" t="s">
        <v>30</v>
      </c>
      <c r="B8" t="s">
        <v>25</v>
      </c>
      <c r="C8" t="s">
        <v>21</v>
      </c>
      <c r="D8" t="s">
        <v>31</v>
      </c>
      <c r="E8" s="2"/>
      <c r="F8" s="2" t="s">
        <v>145</v>
      </c>
      <c r="G8" s="2"/>
      <c r="H8" t="s">
        <v>32</v>
      </c>
      <c r="J8" s="5" t="s">
        <v>153</v>
      </c>
      <c r="K8" s="6">
        <v>30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2"/>
      <c r="F9" s="2" t="s">
        <v>145</v>
      </c>
      <c r="G9" s="2"/>
      <c r="H9" t="s">
        <v>35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2"/>
      <c r="F10" s="2" t="s">
        <v>145</v>
      </c>
      <c r="G10" s="2"/>
      <c r="H10" t="s">
        <v>40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2"/>
      <c r="F11" s="2" t="s">
        <v>145</v>
      </c>
      <c r="G11" s="2"/>
      <c r="H11" t="s">
        <v>44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2"/>
      <c r="F12" s="2" t="s">
        <v>145</v>
      </c>
      <c r="G12" s="2"/>
      <c r="H12" t="s">
        <v>48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2"/>
      <c r="F13" s="2" t="s">
        <v>145</v>
      </c>
      <c r="G13" s="2"/>
      <c r="H13" t="s">
        <v>52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2"/>
      <c r="F14" s="2" t="s">
        <v>145</v>
      </c>
      <c r="G14" s="2"/>
      <c r="H14" t="s">
        <v>55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2"/>
      <c r="F15" s="2" t="s">
        <v>145</v>
      </c>
      <c r="G15" s="2"/>
      <c r="H15" t="s">
        <v>60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2"/>
      <c r="F16" s="2" t="s">
        <v>145</v>
      </c>
      <c r="G16" s="2"/>
      <c r="H16" t="s">
        <v>63</v>
      </c>
    </row>
    <row r="17" spans="1:8" x14ac:dyDescent="0.3">
      <c r="A17" t="s">
        <v>64</v>
      </c>
      <c r="B17" t="s">
        <v>56</v>
      </c>
      <c r="C17" t="s">
        <v>21</v>
      </c>
      <c r="D17" t="s">
        <v>65</v>
      </c>
      <c r="E17" s="2"/>
      <c r="F17" s="2" t="s">
        <v>145</v>
      </c>
      <c r="G17" s="2"/>
      <c r="H17" t="s">
        <v>66</v>
      </c>
    </row>
    <row r="18" spans="1:8" x14ac:dyDescent="0.3">
      <c r="A18" t="s">
        <v>67</v>
      </c>
      <c r="B18" t="s">
        <v>70</v>
      </c>
      <c r="C18" t="s">
        <v>9</v>
      </c>
      <c r="D18" t="s">
        <v>68</v>
      </c>
      <c r="E18" s="2"/>
      <c r="F18" s="2" t="s">
        <v>145</v>
      </c>
      <c r="G18" s="2"/>
      <c r="H18" t="s">
        <v>69</v>
      </c>
    </row>
    <row r="19" spans="1:8" x14ac:dyDescent="0.3">
      <c r="A19" t="s">
        <v>71</v>
      </c>
      <c r="B19" t="s">
        <v>70</v>
      </c>
      <c r="C19" t="s">
        <v>29</v>
      </c>
      <c r="D19" t="s">
        <v>72</v>
      </c>
      <c r="E19" s="2"/>
      <c r="F19" s="2" t="s">
        <v>145</v>
      </c>
      <c r="G19" s="2"/>
      <c r="H19" t="s">
        <v>73</v>
      </c>
    </row>
    <row r="20" spans="1:8" x14ac:dyDescent="0.3">
      <c r="A20" t="s">
        <v>74</v>
      </c>
      <c r="B20" t="s">
        <v>70</v>
      </c>
      <c r="C20" t="s">
        <v>21</v>
      </c>
      <c r="D20" t="s">
        <v>75</v>
      </c>
      <c r="E20" s="2"/>
      <c r="F20" s="2" t="s">
        <v>145</v>
      </c>
      <c r="G20" s="2"/>
      <c r="H20" t="s">
        <v>76</v>
      </c>
    </row>
    <row r="21" spans="1:8" x14ac:dyDescent="0.3">
      <c r="A21" t="s">
        <v>77</v>
      </c>
      <c r="B21" t="s">
        <v>80</v>
      </c>
      <c r="C21" t="s">
        <v>37</v>
      </c>
      <c r="D21" t="s">
        <v>78</v>
      </c>
      <c r="E21" s="2"/>
      <c r="F21" s="2" t="s">
        <v>145</v>
      </c>
      <c r="G21" s="2"/>
      <c r="H21" t="s">
        <v>79</v>
      </c>
    </row>
    <row r="22" spans="1:8" x14ac:dyDescent="0.3">
      <c r="A22" t="s">
        <v>81</v>
      </c>
      <c r="B22" t="s">
        <v>80</v>
      </c>
      <c r="C22" t="s">
        <v>41</v>
      </c>
      <c r="D22" t="s">
        <v>82</v>
      </c>
      <c r="E22" s="2"/>
      <c r="F22" s="2" t="s">
        <v>145</v>
      </c>
      <c r="G22" s="2"/>
      <c r="H22" t="s">
        <v>83</v>
      </c>
    </row>
    <row r="23" spans="1:8" x14ac:dyDescent="0.3">
      <c r="A23" t="s">
        <v>84</v>
      </c>
      <c r="B23" t="s">
        <v>80</v>
      </c>
      <c r="C23" t="s">
        <v>45</v>
      </c>
      <c r="D23" t="s">
        <v>85</v>
      </c>
      <c r="E23" s="2"/>
      <c r="F23" s="2" t="s">
        <v>145</v>
      </c>
      <c r="G23" s="2"/>
      <c r="H23" t="s">
        <v>86</v>
      </c>
    </row>
    <row r="24" spans="1:8" x14ac:dyDescent="0.3">
      <c r="A24" t="s">
        <v>87</v>
      </c>
      <c r="B24" t="s">
        <v>80</v>
      </c>
      <c r="C24" t="s">
        <v>49</v>
      </c>
      <c r="D24" t="s">
        <v>88</v>
      </c>
      <c r="E24" s="2"/>
      <c r="F24" s="2" t="s">
        <v>145</v>
      </c>
      <c r="G24" s="2"/>
      <c r="H24" t="s">
        <v>89</v>
      </c>
    </row>
    <row r="25" spans="1:8" x14ac:dyDescent="0.3">
      <c r="A25" t="s">
        <v>90</v>
      </c>
      <c r="B25" t="s">
        <v>80</v>
      </c>
      <c r="C25" t="s">
        <v>13</v>
      </c>
      <c r="D25" t="s">
        <v>91</v>
      </c>
      <c r="E25" s="2"/>
      <c r="F25" s="2" t="s">
        <v>145</v>
      </c>
      <c r="G25" s="2"/>
      <c r="H25" t="s">
        <v>92</v>
      </c>
    </row>
    <row r="26" spans="1:8" x14ac:dyDescent="0.3">
      <c r="A26" t="s">
        <v>93</v>
      </c>
      <c r="B26" t="s">
        <v>94</v>
      </c>
      <c r="C26" t="s">
        <v>57</v>
      </c>
      <c r="D26" t="s">
        <v>12</v>
      </c>
      <c r="E26" s="2"/>
      <c r="F26" s="2" t="s">
        <v>145</v>
      </c>
      <c r="G26" s="2"/>
      <c r="H26" t="s">
        <v>7</v>
      </c>
    </row>
    <row r="27" spans="1:8" x14ac:dyDescent="0.3">
      <c r="A27" t="s">
        <v>95</v>
      </c>
      <c r="B27" t="s">
        <v>94</v>
      </c>
      <c r="C27" t="s">
        <v>9</v>
      </c>
      <c r="D27" t="s">
        <v>24</v>
      </c>
      <c r="E27" s="2"/>
      <c r="F27" s="2" t="s">
        <v>145</v>
      </c>
      <c r="G27" s="2"/>
      <c r="H27" t="s">
        <v>16</v>
      </c>
    </row>
    <row r="28" spans="1:8" x14ac:dyDescent="0.3">
      <c r="A28" t="s">
        <v>96</v>
      </c>
      <c r="B28" t="s">
        <v>94</v>
      </c>
      <c r="C28" t="s">
        <v>29</v>
      </c>
      <c r="D28" t="s">
        <v>15</v>
      </c>
      <c r="E28" s="2"/>
      <c r="F28" s="2" t="s">
        <v>145</v>
      </c>
      <c r="G28" s="2"/>
      <c r="H28" t="s">
        <v>23</v>
      </c>
    </row>
    <row r="29" spans="1:8" x14ac:dyDescent="0.3">
      <c r="A29" t="s">
        <v>97</v>
      </c>
      <c r="B29" t="s">
        <v>94</v>
      </c>
      <c r="C29" t="s">
        <v>21</v>
      </c>
      <c r="D29" t="s">
        <v>6</v>
      </c>
      <c r="E29" s="2"/>
      <c r="F29" s="2" t="s">
        <v>145</v>
      </c>
      <c r="G29" s="2"/>
      <c r="H29" t="s">
        <v>11</v>
      </c>
    </row>
    <row r="30" spans="1:8" x14ac:dyDescent="0.3">
      <c r="A30" t="s">
        <v>98</v>
      </c>
      <c r="B30" t="s">
        <v>99</v>
      </c>
      <c r="C30" t="s">
        <v>9</v>
      </c>
      <c r="D30" t="s">
        <v>19</v>
      </c>
      <c r="E30" s="2"/>
      <c r="F30" s="2" t="s">
        <v>145</v>
      </c>
      <c r="G30" s="2"/>
      <c r="H30" t="s">
        <v>34</v>
      </c>
    </row>
    <row r="31" spans="1:8" x14ac:dyDescent="0.3">
      <c r="A31" t="s">
        <v>100</v>
      </c>
      <c r="B31" t="s">
        <v>99</v>
      </c>
      <c r="C31" t="s">
        <v>29</v>
      </c>
      <c r="D31" t="s">
        <v>32</v>
      </c>
      <c r="E31" s="2"/>
      <c r="F31" s="2" t="s">
        <v>145</v>
      </c>
      <c r="G31" s="2"/>
      <c r="H31" t="s">
        <v>28</v>
      </c>
    </row>
    <row r="32" spans="1:8" x14ac:dyDescent="0.3">
      <c r="A32" t="s">
        <v>101</v>
      </c>
      <c r="B32" t="s">
        <v>99</v>
      </c>
      <c r="C32" t="s">
        <v>102</v>
      </c>
      <c r="D32" t="s">
        <v>27</v>
      </c>
      <c r="E32" s="2"/>
      <c r="F32" s="2" t="s">
        <v>145</v>
      </c>
      <c r="G32" s="2"/>
      <c r="H32" t="s">
        <v>31</v>
      </c>
    </row>
    <row r="33" spans="1:8" x14ac:dyDescent="0.3">
      <c r="A33" t="s">
        <v>103</v>
      </c>
      <c r="B33" t="s">
        <v>104</v>
      </c>
      <c r="C33" t="s">
        <v>105</v>
      </c>
      <c r="D33" t="s">
        <v>35</v>
      </c>
      <c r="E33" s="2"/>
      <c r="F33" s="2" t="s">
        <v>145</v>
      </c>
      <c r="G33" s="2"/>
      <c r="H33" t="s">
        <v>20</v>
      </c>
    </row>
    <row r="34" spans="1:8" x14ac:dyDescent="0.3">
      <c r="A34" t="s">
        <v>106</v>
      </c>
      <c r="B34" t="s">
        <v>104</v>
      </c>
      <c r="C34" t="s">
        <v>41</v>
      </c>
      <c r="D34" t="s">
        <v>43</v>
      </c>
      <c r="E34" s="2"/>
      <c r="F34" s="2" t="s">
        <v>145</v>
      </c>
      <c r="G34" s="2"/>
      <c r="H34" t="s">
        <v>51</v>
      </c>
    </row>
    <row r="35" spans="1:8" x14ac:dyDescent="0.3">
      <c r="A35" t="s">
        <v>107</v>
      </c>
      <c r="B35" t="s">
        <v>104</v>
      </c>
      <c r="C35" t="s">
        <v>45</v>
      </c>
      <c r="D35" t="s">
        <v>39</v>
      </c>
      <c r="E35" s="2"/>
      <c r="F35" s="2" t="s">
        <v>145</v>
      </c>
      <c r="G35" s="2"/>
      <c r="H35" t="s">
        <v>47</v>
      </c>
    </row>
    <row r="36" spans="1:8" x14ac:dyDescent="0.3">
      <c r="A36" t="s">
        <v>108</v>
      </c>
      <c r="B36" t="s">
        <v>104</v>
      </c>
      <c r="C36" t="s">
        <v>109</v>
      </c>
      <c r="D36" t="s">
        <v>48</v>
      </c>
      <c r="E36" s="2"/>
      <c r="F36" s="2" t="s">
        <v>145</v>
      </c>
      <c r="G36" s="2"/>
      <c r="H36" t="s">
        <v>40</v>
      </c>
    </row>
    <row r="37" spans="1:8" x14ac:dyDescent="0.3">
      <c r="A37" t="s">
        <v>110</v>
      </c>
      <c r="B37" t="s">
        <v>111</v>
      </c>
      <c r="C37" t="s">
        <v>37</v>
      </c>
      <c r="D37" t="s">
        <v>52</v>
      </c>
      <c r="E37" s="2"/>
      <c r="F37" s="2" t="s">
        <v>145</v>
      </c>
      <c r="G37" s="2"/>
      <c r="H37" t="s">
        <v>44</v>
      </c>
    </row>
    <row r="38" spans="1:8" x14ac:dyDescent="0.3">
      <c r="A38" t="s">
        <v>112</v>
      </c>
      <c r="B38" t="s">
        <v>111</v>
      </c>
      <c r="C38" t="s">
        <v>57</v>
      </c>
      <c r="D38" t="s">
        <v>54</v>
      </c>
      <c r="E38" s="2"/>
      <c r="F38" s="2" t="s">
        <v>145</v>
      </c>
      <c r="G38" s="2"/>
      <c r="H38" t="s">
        <v>62</v>
      </c>
    </row>
    <row r="39" spans="1:8" x14ac:dyDescent="0.3">
      <c r="A39" t="s">
        <v>113</v>
      </c>
      <c r="B39" t="s">
        <v>111</v>
      </c>
      <c r="C39" t="s">
        <v>9</v>
      </c>
      <c r="D39" t="s">
        <v>59</v>
      </c>
      <c r="E39" s="2"/>
      <c r="F39" s="2" t="s">
        <v>145</v>
      </c>
      <c r="G39" s="2"/>
      <c r="H39" t="s">
        <v>65</v>
      </c>
    </row>
    <row r="40" spans="1:8" x14ac:dyDescent="0.3">
      <c r="A40" t="s">
        <v>114</v>
      </c>
      <c r="B40" t="s">
        <v>111</v>
      </c>
      <c r="C40" t="s">
        <v>29</v>
      </c>
      <c r="D40" t="s">
        <v>63</v>
      </c>
      <c r="E40" s="2"/>
      <c r="F40" s="2" t="s">
        <v>145</v>
      </c>
      <c r="G40" s="2"/>
      <c r="H40" t="s">
        <v>55</v>
      </c>
    </row>
    <row r="41" spans="1:8" x14ac:dyDescent="0.3">
      <c r="A41" t="s">
        <v>115</v>
      </c>
      <c r="B41" t="s">
        <v>111</v>
      </c>
      <c r="C41" t="s">
        <v>21</v>
      </c>
      <c r="D41" t="s">
        <v>66</v>
      </c>
      <c r="E41" s="2"/>
      <c r="F41" s="2" t="s">
        <v>145</v>
      </c>
      <c r="G41" s="2"/>
      <c r="H41" t="s">
        <v>60</v>
      </c>
    </row>
    <row r="42" spans="1:8" x14ac:dyDescent="0.3">
      <c r="A42" t="s">
        <v>116</v>
      </c>
      <c r="B42" t="s">
        <v>117</v>
      </c>
      <c r="C42" t="s">
        <v>41</v>
      </c>
      <c r="D42" t="s">
        <v>75</v>
      </c>
      <c r="E42" s="2"/>
      <c r="F42" s="2" t="s">
        <v>145</v>
      </c>
      <c r="G42" s="2"/>
      <c r="H42" t="s">
        <v>78</v>
      </c>
    </row>
    <row r="43" spans="1:8" x14ac:dyDescent="0.3">
      <c r="A43" t="s">
        <v>118</v>
      </c>
      <c r="B43" t="s">
        <v>117</v>
      </c>
      <c r="C43" t="s">
        <v>119</v>
      </c>
      <c r="D43" t="s">
        <v>68</v>
      </c>
      <c r="E43" s="2"/>
      <c r="F43" s="2" t="s">
        <v>145</v>
      </c>
      <c r="G43" s="2"/>
      <c r="H43" t="s">
        <v>72</v>
      </c>
    </row>
    <row r="44" spans="1:8" x14ac:dyDescent="0.3">
      <c r="A44" t="s">
        <v>120</v>
      </c>
      <c r="B44" t="s">
        <v>117</v>
      </c>
      <c r="C44" t="s">
        <v>109</v>
      </c>
      <c r="D44" t="s">
        <v>73</v>
      </c>
      <c r="E44" s="2"/>
      <c r="F44" s="2" t="s">
        <v>145</v>
      </c>
      <c r="G44" s="2"/>
      <c r="H44" t="s">
        <v>69</v>
      </c>
    </row>
    <row r="45" spans="1:8" x14ac:dyDescent="0.3">
      <c r="A45" t="s">
        <v>121</v>
      </c>
      <c r="B45" t="s">
        <v>122</v>
      </c>
      <c r="C45" t="s">
        <v>105</v>
      </c>
      <c r="D45" t="s">
        <v>79</v>
      </c>
      <c r="E45" s="2"/>
      <c r="F45" s="2" t="s">
        <v>145</v>
      </c>
      <c r="G45" s="2"/>
      <c r="H45" t="s">
        <v>76</v>
      </c>
    </row>
    <row r="46" spans="1:8" x14ac:dyDescent="0.3">
      <c r="A46" t="s">
        <v>123</v>
      </c>
      <c r="B46" t="s">
        <v>122</v>
      </c>
      <c r="C46" t="s">
        <v>41</v>
      </c>
      <c r="D46" t="s">
        <v>82</v>
      </c>
      <c r="E46" s="2"/>
      <c r="F46" s="2" t="s">
        <v>145</v>
      </c>
      <c r="G46" s="2"/>
      <c r="H46" t="s">
        <v>91</v>
      </c>
    </row>
    <row r="47" spans="1:8" x14ac:dyDescent="0.3">
      <c r="A47" t="s">
        <v>124</v>
      </c>
      <c r="B47" t="s">
        <v>122</v>
      </c>
      <c r="C47" t="s">
        <v>45</v>
      </c>
      <c r="D47" t="s">
        <v>85</v>
      </c>
      <c r="E47" s="2"/>
      <c r="F47" s="2" t="s">
        <v>145</v>
      </c>
      <c r="G47" s="2"/>
      <c r="H47" t="s">
        <v>88</v>
      </c>
    </row>
    <row r="48" spans="1:8" x14ac:dyDescent="0.3">
      <c r="A48" t="s">
        <v>125</v>
      </c>
      <c r="B48" t="s">
        <v>122</v>
      </c>
      <c r="C48" t="s">
        <v>49</v>
      </c>
      <c r="D48" t="s">
        <v>89</v>
      </c>
      <c r="E48" s="2"/>
      <c r="F48" s="2" t="s">
        <v>145</v>
      </c>
      <c r="G48" s="2"/>
      <c r="H48" t="s">
        <v>86</v>
      </c>
    </row>
    <row r="49" spans="1:8" x14ac:dyDescent="0.3">
      <c r="A49" t="s">
        <v>126</v>
      </c>
      <c r="B49" t="s">
        <v>122</v>
      </c>
      <c r="C49" t="s">
        <v>13</v>
      </c>
      <c r="D49" t="s">
        <v>92</v>
      </c>
      <c r="E49" s="2"/>
      <c r="F49" s="2" t="s">
        <v>145</v>
      </c>
      <c r="G49" s="2"/>
      <c r="H49" t="s">
        <v>83</v>
      </c>
    </row>
    <row r="50" spans="1:8" x14ac:dyDescent="0.3">
      <c r="A50" t="s">
        <v>127</v>
      </c>
      <c r="B50" t="s">
        <v>128</v>
      </c>
      <c r="C50" t="s">
        <v>9</v>
      </c>
      <c r="D50" t="s">
        <v>16</v>
      </c>
      <c r="E50" s="2"/>
      <c r="F50" s="2" t="s">
        <v>145</v>
      </c>
      <c r="G50" s="2"/>
      <c r="H50" t="s">
        <v>23</v>
      </c>
    </row>
    <row r="51" spans="1:8" x14ac:dyDescent="0.3">
      <c r="A51" t="s">
        <v>127</v>
      </c>
      <c r="B51" t="s">
        <v>128</v>
      </c>
      <c r="C51" t="s">
        <v>9</v>
      </c>
      <c r="D51" t="s">
        <v>24</v>
      </c>
      <c r="E51" s="2"/>
      <c r="F51" s="2" t="s">
        <v>145</v>
      </c>
      <c r="G51" s="2"/>
      <c r="H51" t="s">
        <v>15</v>
      </c>
    </row>
    <row r="52" spans="1:8" x14ac:dyDescent="0.3">
      <c r="A52" t="s">
        <v>129</v>
      </c>
      <c r="B52" t="s">
        <v>128</v>
      </c>
      <c r="C52" t="s">
        <v>29</v>
      </c>
      <c r="D52" t="s">
        <v>32</v>
      </c>
      <c r="E52" s="2"/>
      <c r="F52" s="2" t="s">
        <v>145</v>
      </c>
      <c r="G52" s="2"/>
      <c r="H52" t="s">
        <v>27</v>
      </c>
    </row>
    <row r="53" spans="1:8" x14ac:dyDescent="0.3">
      <c r="A53" t="s">
        <v>129</v>
      </c>
      <c r="B53" t="s">
        <v>128</v>
      </c>
      <c r="C53" t="s">
        <v>29</v>
      </c>
      <c r="D53" t="s">
        <v>28</v>
      </c>
      <c r="E53" s="2"/>
      <c r="F53" s="2" t="s">
        <v>145</v>
      </c>
      <c r="G53" s="2"/>
      <c r="H53" t="s">
        <v>31</v>
      </c>
    </row>
    <row r="54" spans="1:8" x14ac:dyDescent="0.3">
      <c r="A54" t="s">
        <v>130</v>
      </c>
      <c r="B54" t="s">
        <v>128</v>
      </c>
      <c r="C54" t="s">
        <v>21</v>
      </c>
      <c r="D54" t="s">
        <v>7</v>
      </c>
      <c r="E54" s="2"/>
      <c r="F54" s="2" t="s">
        <v>145</v>
      </c>
      <c r="G54" s="2"/>
      <c r="H54" t="s">
        <v>11</v>
      </c>
    </row>
    <row r="55" spans="1:8" x14ac:dyDescent="0.3">
      <c r="A55" t="s">
        <v>130</v>
      </c>
      <c r="B55" t="s">
        <v>128</v>
      </c>
      <c r="C55" t="s">
        <v>21</v>
      </c>
      <c r="D55" t="s">
        <v>12</v>
      </c>
      <c r="E55" s="2"/>
      <c r="F55" s="2" t="s">
        <v>145</v>
      </c>
      <c r="G55" s="2"/>
      <c r="H55" t="s">
        <v>6</v>
      </c>
    </row>
    <row r="56" spans="1:8" x14ac:dyDescent="0.3">
      <c r="A56" t="s">
        <v>131</v>
      </c>
      <c r="B56" t="s">
        <v>132</v>
      </c>
      <c r="C56" t="s">
        <v>45</v>
      </c>
      <c r="D56" t="s">
        <v>40</v>
      </c>
      <c r="E56" s="2"/>
      <c r="F56" s="2" t="s">
        <v>145</v>
      </c>
      <c r="G56" s="2"/>
      <c r="H56" t="s">
        <v>47</v>
      </c>
    </row>
    <row r="57" spans="1:8" x14ac:dyDescent="0.3">
      <c r="A57" t="s">
        <v>131</v>
      </c>
      <c r="B57" t="s">
        <v>132</v>
      </c>
      <c r="C57" t="s">
        <v>45</v>
      </c>
      <c r="D57" t="s">
        <v>48</v>
      </c>
      <c r="E57" s="2"/>
      <c r="F57" s="2" t="s">
        <v>145</v>
      </c>
      <c r="G57" s="2"/>
      <c r="H57" t="s">
        <v>39</v>
      </c>
    </row>
    <row r="58" spans="1:8" x14ac:dyDescent="0.3">
      <c r="A58" t="s">
        <v>133</v>
      </c>
      <c r="B58" t="s">
        <v>132</v>
      </c>
      <c r="C58" t="s">
        <v>49</v>
      </c>
      <c r="D58" t="s">
        <v>44</v>
      </c>
      <c r="E58" s="2"/>
      <c r="F58" s="2" t="s">
        <v>145</v>
      </c>
      <c r="G58" s="2"/>
      <c r="H58" t="s">
        <v>51</v>
      </c>
    </row>
    <row r="59" spans="1:8" x14ac:dyDescent="0.3">
      <c r="A59" t="s">
        <v>133</v>
      </c>
      <c r="B59" t="s">
        <v>132</v>
      </c>
      <c r="C59" t="s">
        <v>49</v>
      </c>
      <c r="D59" t="s">
        <v>52</v>
      </c>
      <c r="E59" s="2"/>
      <c r="F59" s="2" t="s">
        <v>145</v>
      </c>
      <c r="G59" s="2"/>
      <c r="H59" t="s">
        <v>43</v>
      </c>
    </row>
    <row r="60" spans="1:8" x14ac:dyDescent="0.3">
      <c r="A60" t="s">
        <v>134</v>
      </c>
      <c r="B60" t="s">
        <v>132</v>
      </c>
      <c r="C60" t="s">
        <v>13</v>
      </c>
      <c r="D60" t="s">
        <v>20</v>
      </c>
      <c r="E60" s="2"/>
      <c r="F60" s="2" t="s">
        <v>145</v>
      </c>
      <c r="G60" s="2"/>
      <c r="H60" t="s">
        <v>34</v>
      </c>
    </row>
    <row r="61" spans="1:8" x14ac:dyDescent="0.3">
      <c r="A61" t="s">
        <v>134</v>
      </c>
      <c r="B61" t="s">
        <v>132</v>
      </c>
      <c r="C61" t="s">
        <v>13</v>
      </c>
      <c r="D61" t="s">
        <v>35</v>
      </c>
      <c r="E61" s="2"/>
      <c r="F61" s="2" t="s">
        <v>145</v>
      </c>
      <c r="G61" s="2"/>
      <c r="H61" t="s">
        <v>19</v>
      </c>
    </row>
    <row r="62" spans="1:8" x14ac:dyDescent="0.3">
      <c r="A62" t="s">
        <v>135</v>
      </c>
      <c r="B62" t="s">
        <v>136</v>
      </c>
      <c r="C62" t="s">
        <v>9</v>
      </c>
      <c r="D62" t="s">
        <v>73</v>
      </c>
      <c r="E62" s="2"/>
      <c r="F62" s="2" t="s">
        <v>145</v>
      </c>
      <c r="G62" s="2"/>
      <c r="H62" t="s">
        <v>68</v>
      </c>
    </row>
    <row r="63" spans="1:8" x14ac:dyDescent="0.3">
      <c r="A63" t="s">
        <v>135</v>
      </c>
      <c r="B63" t="s">
        <v>136</v>
      </c>
      <c r="C63" t="s">
        <v>9</v>
      </c>
      <c r="D63" t="s">
        <v>69</v>
      </c>
      <c r="E63" s="2"/>
      <c r="F63" s="2" t="s">
        <v>145</v>
      </c>
      <c r="G63" s="2"/>
      <c r="H63" t="s">
        <v>72</v>
      </c>
    </row>
    <row r="64" spans="1:8" x14ac:dyDescent="0.3">
      <c r="A64" t="s">
        <v>137</v>
      </c>
      <c r="B64" t="s">
        <v>136</v>
      </c>
      <c r="C64" t="s">
        <v>109</v>
      </c>
      <c r="D64" t="s">
        <v>55</v>
      </c>
      <c r="E64" s="2"/>
      <c r="F64" s="2" t="s">
        <v>145</v>
      </c>
      <c r="G64" s="2"/>
      <c r="H64" t="s">
        <v>62</v>
      </c>
    </row>
    <row r="65" spans="1:8" x14ac:dyDescent="0.3">
      <c r="A65" t="s">
        <v>137</v>
      </c>
      <c r="B65" t="s">
        <v>136</v>
      </c>
      <c r="C65" t="s">
        <v>109</v>
      </c>
      <c r="D65" t="s">
        <v>63</v>
      </c>
      <c r="E65" s="2"/>
      <c r="F65" s="2" t="s">
        <v>145</v>
      </c>
      <c r="G65" s="2"/>
      <c r="H65" t="s">
        <v>54</v>
      </c>
    </row>
    <row r="66" spans="1:8" x14ac:dyDescent="0.3">
      <c r="A66" t="s">
        <v>138</v>
      </c>
      <c r="B66" t="s">
        <v>139</v>
      </c>
      <c r="C66" t="s">
        <v>105</v>
      </c>
      <c r="D66" t="s">
        <v>60</v>
      </c>
      <c r="E66" s="2"/>
      <c r="F66" s="2" t="s">
        <v>145</v>
      </c>
      <c r="G66" s="2"/>
      <c r="H66" t="s">
        <v>65</v>
      </c>
    </row>
    <row r="67" spans="1:8" x14ac:dyDescent="0.3">
      <c r="A67" t="s">
        <v>138</v>
      </c>
      <c r="B67" t="s">
        <v>139</v>
      </c>
      <c r="C67" t="s">
        <v>105</v>
      </c>
      <c r="D67" t="s">
        <v>66</v>
      </c>
      <c r="E67" s="2"/>
      <c r="F67" s="2" t="s">
        <v>145</v>
      </c>
      <c r="G67" s="2"/>
      <c r="H67" t="s">
        <v>59</v>
      </c>
    </row>
    <row r="68" spans="1:8" x14ac:dyDescent="0.3">
      <c r="A68" t="s">
        <v>140</v>
      </c>
      <c r="B68" t="s">
        <v>139</v>
      </c>
      <c r="C68" t="s">
        <v>119</v>
      </c>
      <c r="D68" t="s">
        <v>86</v>
      </c>
      <c r="E68" s="2"/>
      <c r="F68" s="2" t="s">
        <v>145</v>
      </c>
      <c r="G68" s="2"/>
      <c r="H68" t="s">
        <v>88</v>
      </c>
    </row>
    <row r="69" spans="1:8" x14ac:dyDescent="0.3">
      <c r="A69" t="s">
        <v>140</v>
      </c>
      <c r="B69" t="s">
        <v>139</v>
      </c>
      <c r="C69" t="s">
        <v>119</v>
      </c>
      <c r="D69" t="s">
        <v>89</v>
      </c>
      <c r="E69" s="2"/>
      <c r="F69" s="2" t="s">
        <v>145</v>
      </c>
      <c r="G69" s="2"/>
      <c r="H69" t="s">
        <v>85</v>
      </c>
    </row>
    <row r="70" spans="1:8" x14ac:dyDescent="0.3">
      <c r="A70" t="s">
        <v>141</v>
      </c>
      <c r="B70" t="s">
        <v>139</v>
      </c>
      <c r="C70" t="s">
        <v>142</v>
      </c>
      <c r="D70" t="s">
        <v>92</v>
      </c>
      <c r="E70" s="2"/>
      <c r="F70" s="2" t="s">
        <v>145</v>
      </c>
      <c r="G70" s="2"/>
      <c r="H70" t="s">
        <v>82</v>
      </c>
    </row>
    <row r="71" spans="1:8" x14ac:dyDescent="0.3">
      <c r="A71" t="s">
        <v>141</v>
      </c>
      <c r="B71" t="s">
        <v>139</v>
      </c>
      <c r="C71" t="s">
        <v>142</v>
      </c>
      <c r="D71" t="s">
        <v>83</v>
      </c>
      <c r="E71" s="2"/>
      <c r="F71" s="2" t="s">
        <v>145</v>
      </c>
      <c r="G71" s="2"/>
      <c r="H71" t="s">
        <v>91</v>
      </c>
    </row>
    <row r="72" spans="1:8" x14ac:dyDescent="0.3">
      <c r="A72" t="s">
        <v>143</v>
      </c>
      <c r="B72" t="s">
        <v>139</v>
      </c>
      <c r="C72" t="s">
        <v>13</v>
      </c>
      <c r="D72" t="s">
        <v>76</v>
      </c>
      <c r="E72" s="2"/>
      <c r="F72" s="2" t="s">
        <v>145</v>
      </c>
      <c r="G72" s="2"/>
      <c r="H72" t="s">
        <v>78</v>
      </c>
    </row>
    <row r="73" spans="1:8" x14ac:dyDescent="0.3">
      <c r="A73" t="s">
        <v>143</v>
      </c>
      <c r="B73" t="s">
        <v>139</v>
      </c>
      <c r="C73" t="s">
        <v>13</v>
      </c>
      <c r="D73" t="s">
        <v>79</v>
      </c>
      <c r="E73" s="2"/>
      <c r="F73" s="2" t="s">
        <v>145</v>
      </c>
      <c r="G73" s="2"/>
      <c r="H73" t="s">
        <v>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84B5-B98B-4BD6-907C-C08918234E6D}">
  <sheetPr codeName="Planilha4"/>
  <dimension ref="A1:K73"/>
  <sheetViews>
    <sheetView topLeftCell="B1" workbookViewId="0">
      <selection activeCell="M31" sqref="M31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2"/>
      <c r="F2" s="2" t="s">
        <v>145</v>
      </c>
      <c r="G2" s="2"/>
      <c r="H2" t="s">
        <v>7</v>
      </c>
      <c r="I2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  <c r="K2" s="3">
        <f>SUM(Tabela_33[Pontuação])</f>
        <v>216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2"/>
      <c r="F3" s="2" t="s">
        <v>145</v>
      </c>
      <c r="G3" s="2"/>
      <c r="H3" t="s">
        <v>12</v>
      </c>
      <c r="I3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2"/>
      <c r="F4" s="2" t="s">
        <v>145</v>
      </c>
      <c r="G4" s="2"/>
      <c r="H4" t="s">
        <v>16</v>
      </c>
      <c r="I4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2"/>
      <c r="F5" s="2" t="s">
        <v>145</v>
      </c>
      <c r="G5" s="2"/>
      <c r="H5" t="s">
        <v>20</v>
      </c>
      <c r="I5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2"/>
      <c r="F6" s="2" t="s">
        <v>145</v>
      </c>
      <c r="G6" s="2"/>
      <c r="H6" t="s">
        <v>24</v>
      </c>
      <c r="I6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2"/>
      <c r="F7" s="2" t="s">
        <v>145</v>
      </c>
      <c r="G7" s="2"/>
      <c r="H7" t="s">
        <v>28</v>
      </c>
      <c r="I7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2"/>
      <c r="F8" s="2" t="s">
        <v>145</v>
      </c>
      <c r="G8" s="2"/>
      <c r="H8" t="s">
        <v>32</v>
      </c>
      <c r="I8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2"/>
      <c r="F9" s="2" t="s">
        <v>145</v>
      </c>
      <c r="G9" s="2"/>
      <c r="H9" t="s">
        <v>35</v>
      </c>
      <c r="I9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2"/>
      <c r="F10" s="2" t="s">
        <v>145</v>
      </c>
      <c r="G10" s="2"/>
      <c r="H10" t="s">
        <v>40</v>
      </c>
      <c r="I10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2"/>
      <c r="F11" s="2" t="s">
        <v>145</v>
      </c>
      <c r="G11" s="2"/>
      <c r="H11" t="s">
        <v>44</v>
      </c>
      <c r="I11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2"/>
      <c r="F12" s="2" t="s">
        <v>145</v>
      </c>
      <c r="G12" s="2"/>
      <c r="H12" t="s">
        <v>48</v>
      </c>
      <c r="I12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2"/>
      <c r="F13" s="2" t="s">
        <v>145</v>
      </c>
      <c r="G13" s="2"/>
      <c r="H13" t="s">
        <v>52</v>
      </c>
      <c r="I13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2"/>
      <c r="F14" s="2" t="s">
        <v>145</v>
      </c>
      <c r="G14" s="2"/>
      <c r="H14" t="s">
        <v>55</v>
      </c>
      <c r="I14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2"/>
      <c r="F15" s="2" t="s">
        <v>145</v>
      </c>
      <c r="G15" s="2"/>
      <c r="H15" t="s">
        <v>60</v>
      </c>
      <c r="I15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2"/>
      <c r="F16" s="2" t="s">
        <v>145</v>
      </c>
      <c r="G16" s="2"/>
      <c r="H16" t="s">
        <v>63</v>
      </c>
      <c r="I16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2"/>
      <c r="F17" s="2" t="s">
        <v>145</v>
      </c>
      <c r="G17" s="2"/>
      <c r="H17" t="s">
        <v>66</v>
      </c>
      <c r="I17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2"/>
      <c r="F18" s="2" t="s">
        <v>145</v>
      </c>
      <c r="G18" s="2"/>
      <c r="H18" t="s">
        <v>69</v>
      </c>
      <c r="I18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2"/>
      <c r="F19" s="2" t="s">
        <v>145</v>
      </c>
      <c r="G19" s="2"/>
      <c r="H19" t="s">
        <v>73</v>
      </c>
      <c r="I19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2"/>
      <c r="F20" s="2" t="s">
        <v>145</v>
      </c>
      <c r="G20" s="2"/>
      <c r="H20" t="s">
        <v>76</v>
      </c>
      <c r="I20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2"/>
      <c r="F21" s="2" t="s">
        <v>145</v>
      </c>
      <c r="G21" s="2"/>
      <c r="H21" t="s">
        <v>79</v>
      </c>
      <c r="I21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2"/>
      <c r="F22" s="2" t="s">
        <v>145</v>
      </c>
      <c r="G22" s="2"/>
      <c r="H22" t="s">
        <v>83</v>
      </c>
      <c r="I22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2"/>
      <c r="F23" s="2" t="s">
        <v>145</v>
      </c>
      <c r="G23" s="2"/>
      <c r="H23" t="s">
        <v>86</v>
      </c>
      <c r="I23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2"/>
      <c r="F24" s="2" t="s">
        <v>145</v>
      </c>
      <c r="G24" s="2"/>
      <c r="H24" t="s">
        <v>89</v>
      </c>
      <c r="I24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2"/>
      <c r="F25" s="2" t="s">
        <v>145</v>
      </c>
      <c r="G25" s="2"/>
      <c r="H25" t="s">
        <v>92</v>
      </c>
      <c r="I25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2"/>
      <c r="F26" s="2" t="s">
        <v>145</v>
      </c>
      <c r="G26" s="2"/>
      <c r="H26" t="s">
        <v>7</v>
      </c>
      <c r="I26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2"/>
      <c r="F27" s="2" t="s">
        <v>145</v>
      </c>
      <c r="G27" s="2"/>
      <c r="H27" t="s">
        <v>16</v>
      </c>
      <c r="I27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2"/>
      <c r="F28" s="2" t="s">
        <v>145</v>
      </c>
      <c r="G28" s="2"/>
      <c r="H28" t="s">
        <v>23</v>
      </c>
      <c r="I28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2"/>
      <c r="F29" s="2" t="s">
        <v>145</v>
      </c>
      <c r="G29" s="2"/>
      <c r="H29" t="s">
        <v>11</v>
      </c>
      <c r="I29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2"/>
      <c r="F30" s="2" t="s">
        <v>145</v>
      </c>
      <c r="G30" s="2"/>
      <c r="H30" t="s">
        <v>34</v>
      </c>
      <c r="I30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2"/>
      <c r="F31" s="2" t="s">
        <v>145</v>
      </c>
      <c r="G31" s="2"/>
      <c r="H31" t="s">
        <v>28</v>
      </c>
      <c r="I31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2"/>
      <c r="F32" s="2" t="s">
        <v>145</v>
      </c>
      <c r="G32" s="2"/>
      <c r="H32" t="s">
        <v>31</v>
      </c>
      <c r="I32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2"/>
      <c r="F33" s="2" t="s">
        <v>145</v>
      </c>
      <c r="G33" s="2"/>
      <c r="H33" t="s">
        <v>20</v>
      </c>
      <c r="I33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2"/>
      <c r="F34" s="2" t="s">
        <v>145</v>
      </c>
      <c r="G34" s="2"/>
      <c r="H34" t="s">
        <v>51</v>
      </c>
      <c r="I34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2"/>
      <c r="F35" s="2" t="s">
        <v>145</v>
      </c>
      <c r="G35" s="2"/>
      <c r="H35" t="s">
        <v>47</v>
      </c>
      <c r="I35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2"/>
      <c r="F36" s="2" t="s">
        <v>145</v>
      </c>
      <c r="G36" s="2"/>
      <c r="H36" t="s">
        <v>40</v>
      </c>
      <c r="I36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2"/>
      <c r="F37" s="2" t="s">
        <v>145</v>
      </c>
      <c r="G37" s="2"/>
      <c r="H37" t="s">
        <v>44</v>
      </c>
      <c r="I37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2"/>
      <c r="F38" s="2" t="s">
        <v>145</v>
      </c>
      <c r="G38" s="2"/>
      <c r="H38" t="s">
        <v>62</v>
      </c>
      <c r="I38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2"/>
      <c r="F39" s="2" t="s">
        <v>145</v>
      </c>
      <c r="G39" s="2"/>
      <c r="H39" t="s">
        <v>65</v>
      </c>
      <c r="I39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2"/>
      <c r="F40" s="2" t="s">
        <v>145</v>
      </c>
      <c r="G40" s="2"/>
      <c r="H40" t="s">
        <v>55</v>
      </c>
      <c r="I40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2"/>
      <c r="F41" s="2" t="s">
        <v>145</v>
      </c>
      <c r="G41" s="2"/>
      <c r="H41" t="s">
        <v>60</v>
      </c>
      <c r="I41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2"/>
      <c r="F42" s="2" t="s">
        <v>145</v>
      </c>
      <c r="G42" s="2"/>
      <c r="H42" t="s">
        <v>78</v>
      </c>
      <c r="I42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2"/>
      <c r="F43" s="2" t="s">
        <v>145</v>
      </c>
      <c r="G43" s="2"/>
      <c r="H43" t="s">
        <v>72</v>
      </c>
      <c r="I43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2"/>
      <c r="F44" s="2" t="s">
        <v>145</v>
      </c>
      <c r="G44" s="2"/>
      <c r="H44" t="s">
        <v>69</v>
      </c>
      <c r="I44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2"/>
      <c r="F45" s="2" t="s">
        <v>145</v>
      </c>
      <c r="G45" s="2"/>
      <c r="H45" t="s">
        <v>76</v>
      </c>
      <c r="I45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2"/>
      <c r="F46" s="2" t="s">
        <v>145</v>
      </c>
      <c r="G46" s="2"/>
      <c r="H46" t="s">
        <v>91</v>
      </c>
      <c r="I46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2"/>
      <c r="F47" s="2" t="s">
        <v>145</v>
      </c>
      <c r="G47" s="2"/>
      <c r="H47" t="s">
        <v>88</v>
      </c>
      <c r="I47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2"/>
      <c r="F48" s="2" t="s">
        <v>145</v>
      </c>
      <c r="G48" s="2"/>
      <c r="H48" t="s">
        <v>86</v>
      </c>
      <c r="I48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2"/>
      <c r="F49" s="2" t="s">
        <v>145</v>
      </c>
      <c r="G49" s="2"/>
      <c r="H49" t="s">
        <v>83</v>
      </c>
      <c r="I49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2"/>
      <c r="F50" s="2" t="s">
        <v>145</v>
      </c>
      <c r="G50" s="2"/>
      <c r="H50" t="s">
        <v>23</v>
      </c>
      <c r="I50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2"/>
      <c r="F51" s="2" t="s">
        <v>145</v>
      </c>
      <c r="G51" s="2"/>
      <c r="H51" t="s">
        <v>15</v>
      </c>
      <c r="I51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2"/>
      <c r="F52" s="2" t="s">
        <v>145</v>
      </c>
      <c r="G52" s="2"/>
      <c r="H52" t="s">
        <v>27</v>
      </c>
      <c r="I52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2"/>
      <c r="F53" s="2" t="s">
        <v>145</v>
      </c>
      <c r="G53" s="2"/>
      <c r="H53" t="s">
        <v>31</v>
      </c>
      <c r="I53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2"/>
      <c r="F54" s="2" t="s">
        <v>145</v>
      </c>
      <c r="G54" s="2"/>
      <c r="H54" t="s">
        <v>11</v>
      </c>
      <c r="I54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2"/>
      <c r="F55" s="2" t="s">
        <v>145</v>
      </c>
      <c r="G55" s="2"/>
      <c r="H55" t="s">
        <v>6</v>
      </c>
      <c r="I55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2"/>
      <c r="F56" s="2" t="s">
        <v>145</v>
      </c>
      <c r="G56" s="2"/>
      <c r="H56" t="s">
        <v>47</v>
      </c>
      <c r="I56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2"/>
      <c r="F57" s="2" t="s">
        <v>145</v>
      </c>
      <c r="G57" s="2"/>
      <c r="H57" t="s">
        <v>39</v>
      </c>
      <c r="I57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2"/>
      <c r="F58" s="2" t="s">
        <v>145</v>
      </c>
      <c r="G58" s="2"/>
      <c r="H58" t="s">
        <v>51</v>
      </c>
      <c r="I58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2"/>
      <c r="F59" s="2" t="s">
        <v>145</v>
      </c>
      <c r="G59" s="2"/>
      <c r="H59" t="s">
        <v>43</v>
      </c>
      <c r="I59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2"/>
      <c r="F60" s="2" t="s">
        <v>145</v>
      </c>
      <c r="G60" s="2"/>
      <c r="H60" t="s">
        <v>34</v>
      </c>
      <c r="I60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2"/>
      <c r="F61" s="2" t="s">
        <v>145</v>
      </c>
      <c r="G61" s="2"/>
      <c r="H61" t="s">
        <v>19</v>
      </c>
      <c r="I61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2"/>
      <c r="F62" s="2" t="s">
        <v>145</v>
      </c>
      <c r="G62" s="2"/>
      <c r="H62" t="s">
        <v>68</v>
      </c>
      <c r="I62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2"/>
      <c r="F63" s="2" t="s">
        <v>145</v>
      </c>
      <c r="G63" s="2"/>
      <c r="H63" t="s">
        <v>72</v>
      </c>
      <c r="I63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2"/>
      <c r="F64" s="2" t="s">
        <v>145</v>
      </c>
      <c r="G64" s="2"/>
      <c r="H64" t="s">
        <v>62</v>
      </c>
      <c r="I64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2"/>
      <c r="F65" s="2" t="s">
        <v>145</v>
      </c>
      <c r="G65" s="2"/>
      <c r="H65" t="s">
        <v>54</v>
      </c>
      <c r="I65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2"/>
      <c r="F66" s="2" t="s">
        <v>145</v>
      </c>
      <c r="G66" s="2"/>
      <c r="H66" t="s">
        <v>65</v>
      </c>
      <c r="I66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2"/>
      <c r="F67" s="2" t="s">
        <v>145</v>
      </c>
      <c r="G67" s="2"/>
      <c r="H67" t="s">
        <v>59</v>
      </c>
      <c r="I67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2"/>
      <c r="F68" s="2" t="s">
        <v>145</v>
      </c>
      <c r="G68" s="2"/>
      <c r="H68" t="s">
        <v>88</v>
      </c>
      <c r="I68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2"/>
      <c r="F69" s="2" t="s">
        <v>145</v>
      </c>
      <c r="G69" s="2"/>
      <c r="H69" t="s">
        <v>85</v>
      </c>
      <c r="I69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2"/>
      <c r="F70" s="2" t="s">
        <v>145</v>
      </c>
      <c r="G70" s="2"/>
      <c r="H70" t="s">
        <v>82</v>
      </c>
      <c r="I70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2"/>
      <c r="F71" s="2" t="s">
        <v>145</v>
      </c>
      <c r="G71" s="2"/>
      <c r="H71" t="s">
        <v>91</v>
      </c>
      <c r="I71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2"/>
      <c r="F72" s="2" t="s">
        <v>145</v>
      </c>
      <c r="G72" s="2"/>
      <c r="H72" t="s">
        <v>78</v>
      </c>
      <c r="I72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2"/>
      <c r="F73" s="2" t="s">
        <v>145</v>
      </c>
      <c r="G73" s="2"/>
      <c r="H73" t="s">
        <v>75</v>
      </c>
      <c r="I73" s="2">
        <f>IF(
AND(Tabela_33[[#This Row],[Placar Mandante]]=Tabela_3[[#This Row],[Placar Mandante]],
Tabela_33[[#This Row],[Placar Visitante]]=Tabela_3[[#This Row],[Placar Visitante]]),
3,
IF(
SIGN(Tabela_33[[#This Row],[Placar Mandante]]-Tabela_33[[#This Row],[Placar Visitante]])=
SIGN(Tabela_3[[#This Row],[Placar Mandante]]-Tabela_3[[#This Row],[Placar Visitante]]),
1,
0
))</f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8AC24-A336-4A2F-998F-DF564EB23F79}">
  <dimension ref="A1:K73"/>
  <sheetViews>
    <sheetView topLeftCell="B1" zoomScaleNormal="100" workbookViewId="0">
      <selection activeCell="L15" sqref="L15"/>
    </sheetView>
  </sheetViews>
  <sheetFormatPr defaultColWidth="8.88671875"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4.4414062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0</v>
      </c>
      <c r="H2" t="s">
        <v>7</v>
      </c>
      <c r="I2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  <c r="J2" s="13"/>
      <c r="K2" s="3">
        <f>SUM(Tabela_33410[Pontuação])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1</v>
      </c>
      <c r="H3" t="s">
        <v>12</v>
      </c>
      <c r="I3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1</v>
      </c>
      <c r="H4" t="s">
        <v>16</v>
      </c>
      <c r="I4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0</v>
      </c>
      <c r="H5" t="s">
        <v>20</v>
      </c>
      <c r="I5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0</v>
      </c>
      <c r="H7" t="s">
        <v>28</v>
      </c>
      <c r="I7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2</v>
      </c>
      <c r="H8" t="s">
        <v>32</v>
      </c>
      <c r="I8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2</v>
      </c>
      <c r="H9" t="s">
        <v>35</v>
      </c>
      <c r="I9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3</v>
      </c>
      <c r="F10" s="12" t="s">
        <v>145</v>
      </c>
      <c r="G10" s="12">
        <v>0</v>
      </c>
      <c r="H10" t="s">
        <v>40</v>
      </c>
      <c r="I10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1</v>
      </c>
      <c r="H11" t="s">
        <v>44</v>
      </c>
      <c r="I11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2</v>
      </c>
      <c r="F12" s="12" t="s">
        <v>145</v>
      </c>
      <c r="G12" s="12">
        <v>1</v>
      </c>
      <c r="H12" t="s">
        <v>48</v>
      </c>
      <c r="I12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2</v>
      </c>
      <c r="F13" s="12" t="s">
        <v>145</v>
      </c>
      <c r="G13" s="12">
        <v>1</v>
      </c>
      <c r="H13" t="s">
        <v>52</v>
      </c>
      <c r="I13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4</v>
      </c>
      <c r="F14" s="12" t="s">
        <v>145</v>
      </c>
      <c r="G14" s="12">
        <v>0</v>
      </c>
      <c r="H14" t="s">
        <v>55</v>
      </c>
      <c r="I14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0</v>
      </c>
      <c r="H15" t="s">
        <v>60</v>
      </c>
      <c r="I15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1</v>
      </c>
      <c r="F16" s="12" t="s">
        <v>145</v>
      </c>
      <c r="G16" s="12">
        <v>3</v>
      </c>
      <c r="H16" t="s">
        <v>63</v>
      </c>
      <c r="I16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2</v>
      </c>
      <c r="H17" t="s">
        <v>66</v>
      </c>
      <c r="I17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4</v>
      </c>
      <c r="F18" s="12" t="s">
        <v>145</v>
      </c>
      <c r="G18" s="12">
        <v>1</v>
      </c>
      <c r="H18" t="s">
        <v>69</v>
      </c>
      <c r="I18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2</v>
      </c>
      <c r="H19" t="s">
        <v>73</v>
      </c>
      <c r="I19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4</v>
      </c>
      <c r="F20" s="12" t="s">
        <v>145</v>
      </c>
      <c r="G20" s="12">
        <v>1</v>
      </c>
      <c r="H20" t="s">
        <v>76</v>
      </c>
      <c r="I20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3</v>
      </c>
      <c r="F21" s="12" t="s">
        <v>145</v>
      </c>
      <c r="G21" s="12">
        <v>1</v>
      </c>
      <c r="H21" t="s">
        <v>79</v>
      </c>
      <c r="I21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4</v>
      </c>
      <c r="F22" s="12" t="s">
        <v>145</v>
      </c>
      <c r="G22" s="12">
        <v>0</v>
      </c>
      <c r="H22" t="s">
        <v>83</v>
      </c>
      <c r="I22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1</v>
      </c>
      <c r="H23" t="s">
        <v>86</v>
      </c>
      <c r="I23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3</v>
      </c>
      <c r="F24" s="12" t="s">
        <v>145</v>
      </c>
      <c r="G24" s="12">
        <v>1</v>
      </c>
      <c r="H24" t="s">
        <v>89</v>
      </c>
      <c r="I24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3</v>
      </c>
      <c r="H25" t="s">
        <v>92</v>
      </c>
      <c r="I25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2</v>
      </c>
      <c r="H26" t="s">
        <v>7</v>
      </c>
      <c r="I26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3</v>
      </c>
      <c r="F27" s="12" t="s">
        <v>145</v>
      </c>
      <c r="G27" s="12">
        <v>1</v>
      </c>
      <c r="H27" t="s">
        <v>16</v>
      </c>
      <c r="I27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3</v>
      </c>
      <c r="F28" s="12" t="s">
        <v>145</v>
      </c>
      <c r="G28" s="12">
        <v>1</v>
      </c>
      <c r="H28" t="s">
        <v>23</v>
      </c>
      <c r="I28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1</v>
      </c>
      <c r="H30" t="s">
        <v>34</v>
      </c>
      <c r="I30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3</v>
      </c>
      <c r="H31" t="s">
        <v>28</v>
      </c>
      <c r="I31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0</v>
      </c>
      <c r="H32" t="s">
        <v>31</v>
      </c>
      <c r="I32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2</v>
      </c>
      <c r="F33" s="12" t="s">
        <v>145</v>
      </c>
      <c r="G33" s="12">
        <v>2</v>
      </c>
      <c r="H33" t="s">
        <v>20</v>
      </c>
      <c r="I33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3</v>
      </c>
      <c r="F34" s="12" t="s">
        <v>145</v>
      </c>
      <c r="G34" s="12">
        <v>2</v>
      </c>
      <c r="H34" t="s">
        <v>51</v>
      </c>
      <c r="I34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4</v>
      </c>
      <c r="F35" s="12" t="s">
        <v>145</v>
      </c>
      <c r="G35" s="12">
        <v>2</v>
      </c>
      <c r="H35" t="s">
        <v>47</v>
      </c>
      <c r="I35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2</v>
      </c>
      <c r="F37" s="12" t="s">
        <v>145</v>
      </c>
      <c r="G37" s="12">
        <v>3</v>
      </c>
      <c r="H37" t="s">
        <v>44</v>
      </c>
      <c r="I37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4</v>
      </c>
      <c r="F38" s="12" t="s">
        <v>145</v>
      </c>
      <c r="G38" s="12">
        <v>1</v>
      </c>
      <c r="H38" t="s">
        <v>62</v>
      </c>
      <c r="I38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3</v>
      </c>
      <c r="F39" s="12" t="s">
        <v>145</v>
      </c>
      <c r="G39" s="12">
        <v>1</v>
      </c>
      <c r="H39" t="s">
        <v>65</v>
      </c>
      <c r="I39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2</v>
      </c>
      <c r="F40" s="12" t="s">
        <v>145</v>
      </c>
      <c r="G40" s="12">
        <v>0</v>
      </c>
      <c r="H40" t="s">
        <v>55</v>
      </c>
      <c r="I40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2</v>
      </c>
      <c r="F41" s="12" t="s">
        <v>145</v>
      </c>
      <c r="G41" s="12">
        <v>2</v>
      </c>
      <c r="H41" t="s">
        <v>60</v>
      </c>
      <c r="I41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3</v>
      </c>
      <c r="F42" s="12" t="s">
        <v>145</v>
      </c>
      <c r="G42" s="12">
        <v>1</v>
      </c>
      <c r="H42" t="s">
        <v>78</v>
      </c>
      <c r="I42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1</v>
      </c>
      <c r="H44" t="s">
        <v>69</v>
      </c>
      <c r="I44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2</v>
      </c>
      <c r="H45" t="s">
        <v>76</v>
      </c>
      <c r="I45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0</v>
      </c>
      <c r="H46" t="s">
        <v>91</v>
      </c>
      <c r="I46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0</v>
      </c>
      <c r="H47" t="s">
        <v>88</v>
      </c>
      <c r="I47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3</v>
      </c>
      <c r="H48" t="s">
        <v>86</v>
      </c>
      <c r="I48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0</v>
      </c>
      <c r="H49" t="s">
        <v>83</v>
      </c>
      <c r="I49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2</v>
      </c>
      <c r="F50" s="12" t="s">
        <v>145</v>
      </c>
      <c r="G50" s="12">
        <v>1</v>
      </c>
      <c r="H50" t="s">
        <v>23</v>
      </c>
      <c r="I50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2</v>
      </c>
      <c r="F51" s="12" t="s">
        <v>145</v>
      </c>
      <c r="G51" s="12">
        <v>1</v>
      </c>
      <c r="H51" t="s">
        <v>15</v>
      </c>
      <c r="I51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3</v>
      </c>
      <c r="H52" t="s">
        <v>27</v>
      </c>
      <c r="I52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0</v>
      </c>
      <c r="H53" t="s">
        <v>31</v>
      </c>
      <c r="I53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2</v>
      </c>
      <c r="H54" t="s">
        <v>11</v>
      </c>
      <c r="I54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2</v>
      </c>
      <c r="H55" t="s">
        <v>6</v>
      </c>
      <c r="I55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3</v>
      </c>
      <c r="H56" t="s">
        <v>47</v>
      </c>
      <c r="I56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2</v>
      </c>
      <c r="F57" s="12" t="s">
        <v>145</v>
      </c>
      <c r="G57" s="12">
        <v>0</v>
      </c>
      <c r="H57" t="s">
        <v>39</v>
      </c>
      <c r="I57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1</v>
      </c>
      <c r="H58" t="s">
        <v>51</v>
      </c>
      <c r="I58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2</v>
      </c>
      <c r="H59" t="s">
        <v>43</v>
      </c>
      <c r="I59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1</v>
      </c>
      <c r="H60" t="s">
        <v>34</v>
      </c>
      <c r="I60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2</v>
      </c>
      <c r="H61" t="s">
        <v>19</v>
      </c>
      <c r="I61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0</v>
      </c>
      <c r="F62" s="12" t="s">
        <v>145</v>
      </c>
      <c r="G62" s="12">
        <v>2</v>
      </c>
      <c r="H62" t="s">
        <v>68</v>
      </c>
      <c r="I62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0</v>
      </c>
      <c r="H63" t="s">
        <v>72</v>
      </c>
      <c r="I63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2</v>
      </c>
      <c r="H64" t="s">
        <v>62</v>
      </c>
      <c r="I64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2</v>
      </c>
      <c r="H65" t="s">
        <v>54</v>
      </c>
      <c r="I65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1</v>
      </c>
      <c r="H66" t="s">
        <v>65</v>
      </c>
      <c r="I66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3</v>
      </c>
      <c r="H67" t="s">
        <v>59</v>
      </c>
      <c r="I67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0</v>
      </c>
      <c r="H68" t="s">
        <v>88</v>
      </c>
      <c r="I68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2</v>
      </c>
      <c r="H70" t="s">
        <v>82</v>
      </c>
      <c r="I70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1</v>
      </c>
      <c r="H71" t="s">
        <v>91</v>
      </c>
      <c r="I71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IF(OR(Tabela_33410[[#This Row],[Placar Mandante]]="",Tabela_33410[[#This Row],[Placar Visitante]]="",Tabela_3[[#This Row],[Placar Mandante]]="",Tabela_3[[#This Row],[Placar Visitante]]=""),0,
IF(AND(Tabela_33410[[#This Row],[Placar Mandante]]=Tabela_3[[#This Row],[Placar Mandante]],Tabela_33410[[#This Row],[Placar Visitante]]=Tabela_3[[#This Row],[Placar Visitante]]),3,
IF(SIGN(Tabela_33410[[#This Row],[Placar Mandante]]-Tabela_33410[[#This Row],[Placar Visitante]])=SIGN(Tabela_3[[#This Row],[Placar Mandante]]-Tabela_3[[#This Row],[Placar Visitante]]),1,0)))</f>
        <v>0</v>
      </c>
    </row>
  </sheetData>
  <sheetProtection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DCC9-0EC4-4377-8B49-41C0F5BE500C}">
  <sheetPr codeName="Planilha6"/>
  <dimension ref="A1:K73"/>
  <sheetViews>
    <sheetView topLeftCell="B1" workbookViewId="0">
      <selection activeCell="K12" sqref="K12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2</v>
      </c>
      <c r="F2" s="2" t="s">
        <v>145</v>
      </c>
      <c r="G2" s="12">
        <v>0</v>
      </c>
      <c r="H2" t="s">
        <v>7</v>
      </c>
      <c r="I2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  <c r="K2" s="3">
        <f>SUM(Tabela_3334[Pontuação])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1</v>
      </c>
      <c r="F3" s="2" t="s">
        <v>145</v>
      </c>
      <c r="G3" s="12">
        <v>3</v>
      </c>
      <c r="H3" t="s">
        <v>12</v>
      </c>
      <c r="I3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0</v>
      </c>
      <c r="F4" s="2" t="s">
        <v>145</v>
      </c>
      <c r="G4" s="12">
        <v>3</v>
      </c>
      <c r="H4" t="s">
        <v>16</v>
      </c>
      <c r="I4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2</v>
      </c>
      <c r="F5" s="2" t="s">
        <v>145</v>
      </c>
      <c r="G5" s="12">
        <v>3</v>
      </c>
      <c r="H5" t="s">
        <v>20</v>
      </c>
      <c r="I5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1</v>
      </c>
      <c r="H6" t="s">
        <v>24</v>
      </c>
      <c r="I6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2</v>
      </c>
      <c r="F7" s="2" t="s">
        <v>145</v>
      </c>
      <c r="G7" s="12">
        <v>1</v>
      </c>
      <c r="H7" t="s">
        <v>28</v>
      </c>
      <c r="I7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0</v>
      </c>
      <c r="F8" s="2" t="s">
        <v>145</v>
      </c>
      <c r="G8" s="12">
        <v>3</v>
      </c>
      <c r="H8" t="s">
        <v>32</v>
      </c>
      <c r="I8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0</v>
      </c>
      <c r="F9" s="2" t="s">
        <v>145</v>
      </c>
      <c r="G9" s="12">
        <v>4</v>
      </c>
      <c r="H9" t="s">
        <v>35</v>
      </c>
      <c r="I9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5</v>
      </c>
      <c r="F10" s="2" t="s">
        <v>145</v>
      </c>
      <c r="G10" s="12">
        <v>1</v>
      </c>
      <c r="H10" t="s">
        <v>40</v>
      </c>
      <c r="I10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1</v>
      </c>
      <c r="F11" s="2" t="s">
        <v>145</v>
      </c>
      <c r="G11" s="12">
        <v>0</v>
      </c>
      <c r="H11" t="s">
        <v>44</v>
      </c>
      <c r="I11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3</v>
      </c>
      <c r="F12" s="2" t="s">
        <v>145</v>
      </c>
      <c r="G12" s="12">
        <v>1</v>
      </c>
      <c r="H12" t="s">
        <v>48</v>
      </c>
      <c r="I12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2</v>
      </c>
      <c r="F13" s="2" t="s">
        <v>145</v>
      </c>
      <c r="G13" s="12">
        <v>2</v>
      </c>
      <c r="H13" t="s">
        <v>52</v>
      </c>
      <c r="I13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3</v>
      </c>
      <c r="F14" s="2" t="s">
        <v>145</v>
      </c>
      <c r="G14" s="12">
        <v>0</v>
      </c>
      <c r="H14" t="s">
        <v>55</v>
      </c>
      <c r="I14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3</v>
      </c>
      <c r="F15" s="2" t="s">
        <v>145</v>
      </c>
      <c r="G15" s="12">
        <v>0</v>
      </c>
      <c r="H15" t="s">
        <v>60</v>
      </c>
      <c r="I15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1</v>
      </c>
      <c r="F16" s="2" t="s">
        <v>145</v>
      </c>
      <c r="G16" s="12">
        <v>3</v>
      </c>
      <c r="H16" t="s">
        <v>63</v>
      </c>
      <c r="I16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1</v>
      </c>
      <c r="F17" s="2" t="s">
        <v>145</v>
      </c>
      <c r="G17" s="12">
        <v>1</v>
      </c>
      <c r="H17" t="s">
        <v>66</v>
      </c>
      <c r="I17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3</v>
      </c>
      <c r="F18" s="2" t="s">
        <v>145</v>
      </c>
      <c r="G18" s="12">
        <v>1</v>
      </c>
      <c r="H18" t="s">
        <v>69</v>
      </c>
      <c r="I18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0</v>
      </c>
      <c r="F19" s="2" t="s">
        <v>145</v>
      </c>
      <c r="G19" s="12">
        <v>1</v>
      </c>
      <c r="H19" t="s">
        <v>73</v>
      </c>
      <c r="I19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3</v>
      </c>
      <c r="F20" s="2" t="s">
        <v>145</v>
      </c>
      <c r="G20" s="12">
        <v>0</v>
      </c>
      <c r="H20" t="s">
        <v>76</v>
      </c>
      <c r="I20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2</v>
      </c>
      <c r="F21" s="2" t="s">
        <v>145</v>
      </c>
      <c r="G21" s="12">
        <v>0</v>
      </c>
      <c r="H21" t="s">
        <v>79</v>
      </c>
      <c r="I21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4</v>
      </c>
      <c r="F22" s="2" t="s">
        <v>145</v>
      </c>
      <c r="G22" s="12">
        <v>1</v>
      </c>
      <c r="H22" t="s">
        <v>83</v>
      </c>
      <c r="I22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2</v>
      </c>
      <c r="F23" s="2" t="s">
        <v>145</v>
      </c>
      <c r="G23" s="12">
        <v>2</v>
      </c>
      <c r="H23" t="s">
        <v>86</v>
      </c>
      <c r="I23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3</v>
      </c>
      <c r="F24" s="2" t="s">
        <v>145</v>
      </c>
      <c r="G24" s="12">
        <v>0</v>
      </c>
      <c r="H24" t="s">
        <v>89</v>
      </c>
      <c r="I24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2</v>
      </c>
      <c r="H25" t="s">
        <v>92</v>
      </c>
      <c r="I25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1</v>
      </c>
      <c r="F26" s="2" t="s">
        <v>145</v>
      </c>
      <c r="G26" s="12">
        <v>0</v>
      </c>
      <c r="H26" t="s">
        <v>7</v>
      </c>
      <c r="I26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1</v>
      </c>
      <c r="F27" s="2" t="s">
        <v>145</v>
      </c>
      <c r="G27" s="12">
        <v>2</v>
      </c>
      <c r="H27" t="s">
        <v>16</v>
      </c>
      <c r="I27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0</v>
      </c>
      <c r="F28" s="2" t="s">
        <v>145</v>
      </c>
      <c r="G28" s="12">
        <v>0</v>
      </c>
      <c r="H28" t="s">
        <v>23</v>
      </c>
      <c r="I28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2</v>
      </c>
      <c r="F29" s="2" t="s">
        <v>145</v>
      </c>
      <c r="G29" s="12">
        <v>0</v>
      </c>
      <c r="H29" t="s">
        <v>11</v>
      </c>
      <c r="I29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2</v>
      </c>
      <c r="F30" s="2" t="s">
        <v>145</v>
      </c>
      <c r="G30" s="12">
        <v>0</v>
      </c>
      <c r="H30" t="s">
        <v>34</v>
      </c>
      <c r="I30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1</v>
      </c>
      <c r="F31" s="2" t="s">
        <v>145</v>
      </c>
      <c r="G31" s="12">
        <v>2</v>
      </c>
      <c r="H31" t="s">
        <v>28</v>
      </c>
      <c r="I31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3</v>
      </c>
      <c r="F32" s="2" t="s">
        <v>145</v>
      </c>
      <c r="G32" s="12">
        <v>0</v>
      </c>
      <c r="H32" t="s">
        <v>31</v>
      </c>
      <c r="I32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2</v>
      </c>
      <c r="F33" s="2" t="s">
        <v>145</v>
      </c>
      <c r="G33" s="12">
        <v>2</v>
      </c>
      <c r="H33" t="s">
        <v>20</v>
      </c>
      <c r="I33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2</v>
      </c>
      <c r="F34" s="2" t="s">
        <v>145</v>
      </c>
      <c r="G34" s="12">
        <v>0</v>
      </c>
      <c r="H34" t="s">
        <v>51</v>
      </c>
      <c r="I34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2</v>
      </c>
      <c r="F35" s="2" t="s">
        <v>145</v>
      </c>
      <c r="G35" s="12">
        <v>1</v>
      </c>
      <c r="H35" t="s">
        <v>47</v>
      </c>
      <c r="I35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3</v>
      </c>
      <c r="F36" s="2" t="s">
        <v>145</v>
      </c>
      <c r="G36" s="12">
        <v>0</v>
      </c>
      <c r="H36" t="s">
        <v>40</v>
      </c>
      <c r="I36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1</v>
      </c>
      <c r="F37" s="2" t="s">
        <v>145</v>
      </c>
      <c r="G37" s="12">
        <v>1</v>
      </c>
      <c r="H37" t="s">
        <v>44</v>
      </c>
      <c r="I37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3</v>
      </c>
      <c r="F38" s="2" t="s">
        <v>145</v>
      </c>
      <c r="G38" s="12">
        <v>1</v>
      </c>
      <c r="H38" t="s">
        <v>62</v>
      </c>
      <c r="I38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2</v>
      </c>
      <c r="F39" s="2" t="s">
        <v>145</v>
      </c>
      <c r="G39" s="12">
        <v>0</v>
      </c>
      <c r="H39" t="s">
        <v>65</v>
      </c>
      <c r="I39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3</v>
      </c>
      <c r="F40" s="2" t="s">
        <v>145</v>
      </c>
      <c r="G40" s="12">
        <v>0</v>
      </c>
      <c r="H40" t="s">
        <v>55</v>
      </c>
      <c r="I40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0</v>
      </c>
      <c r="F41" s="2" t="s">
        <v>145</v>
      </c>
      <c r="G41" s="12">
        <v>0</v>
      </c>
      <c r="H41" t="s">
        <v>60</v>
      </c>
      <c r="I41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3</v>
      </c>
      <c r="F42" s="2" t="s">
        <v>145</v>
      </c>
      <c r="G42" s="12">
        <v>1</v>
      </c>
      <c r="H42" t="s">
        <v>78</v>
      </c>
      <c r="I42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4</v>
      </c>
      <c r="F43" s="2" t="s">
        <v>145</v>
      </c>
      <c r="G43" s="12">
        <v>0</v>
      </c>
      <c r="H43" t="s">
        <v>72</v>
      </c>
      <c r="I43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1</v>
      </c>
      <c r="F44" s="2" t="s">
        <v>145</v>
      </c>
      <c r="G44" s="12">
        <v>3</v>
      </c>
      <c r="H44" t="s">
        <v>69</v>
      </c>
      <c r="I44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0</v>
      </c>
      <c r="F45" s="2" t="s">
        <v>145</v>
      </c>
      <c r="G45" s="12">
        <v>1</v>
      </c>
      <c r="H45" t="s">
        <v>76</v>
      </c>
      <c r="I45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2</v>
      </c>
      <c r="F46" s="2" t="s">
        <v>145</v>
      </c>
      <c r="G46" s="12">
        <v>0</v>
      </c>
      <c r="H46" t="s">
        <v>91</v>
      </c>
      <c r="I46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1</v>
      </c>
      <c r="F47" s="2" t="s">
        <v>145</v>
      </c>
      <c r="G47" s="12">
        <v>2</v>
      </c>
      <c r="H47" t="s">
        <v>88</v>
      </c>
      <c r="I47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1</v>
      </c>
      <c r="F48" s="2" t="s">
        <v>145</v>
      </c>
      <c r="G48" s="12">
        <v>2</v>
      </c>
      <c r="H48" t="s">
        <v>86</v>
      </c>
      <c r="I48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1</v>
      </c>
      <c r="F49" s="2" t="s">
        <v>145</v>
      </c>
      <c r="G49" s="12">
        <v>0</v>
      </c>
      <c r="H49" t="s">
        <v>83</v>
      </c>
      <c r="I49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0</v>
      </c>
      <c r="F50" s="2" t="s">
        <v>145</v>
      </c>
      <c r="G50" s="12">
        <v>0</v>
      </c>
      <c r="H50" t="s">
        <v>23</v>
      </c>
      <c r="I50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0</v>
      </c>
      <c r="F51" s="2" t="s">
        <v>145</v>
      </c>
      <c r="G51" s="12">
        <v>0</v>
      </c>
      <c r="H51" t="s">
        <v>15</v>
      </c>
      <c r="I51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1</v>
      </c>
      <c r="F52" s="2" t="s">
        <v>145</v>
      </c>
      <c r="G52" s="12">
        <v>2</v>
      </c>
      <c r="H52" t="s">
        <v>27</v>
      </c>
      <c r="I52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3</v>
      </c>
      <c r="F53" s="2" t="s">
        <v>145</v>
      </c>
      <c r="G53" s="12">
        <v>0</v>
      </c>
      <c r="H53" t="s">
        <v>31</v>
      </c>
      <c r="I53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0</v>
      </c>
      <c r="F54" s="2" t="s">
        <v>145</v>
      </c>
      <c r="G54" s="12">
        <v>0</v>
      </c>
      <c r="H54" t="s">
        <v>11</v>
      </c>
      <c r="I54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1</v>
      </c>
      <c r="F55" s="2" t="s">
        <v>145</v>
      </c>
      <c r="G55" s="12">
        <v>2</v>
      </c>
      <c r="H55" t="s">
        <v>6</v>
      </c>
      <c r="I55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0</v>
      </c>
      <c r="F56" s="2" t="s">
        <v>145</v>
      </c>
      <c r="G56" s="12">
        <v>3</v>
      </c>
      <c r="H56" t="s">
        <v>47</v>
      </c>
      <c r="I56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1</v>
      </c>
      <c r="F57" s="2" t="s">
        <v>145</v>
      </c>
      <c r="G57" s="12">
        <v>2</v>
      </c>
      <c r="H57" t="s">
        <v>39</v>
      </c>
      <c r="I57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2</v>
      </c>
      <c r="F58" s="2" t="s">
        <v>145</v>
      </c>
      <c r="G58" s="12">
        <v>1</v>
      </c>
      <c r="H58" t="s">
        <v>51</v>
      </c>
      <c r="I58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0</v>
      </c>
      <c r="F59" s="2" t="s">
        <v>145</v>
      </c>
      <c r="G59" s="12">
        <v>2</v>
      </c>
      <c r="H59" t="s">
        <v>43</v>
      </c>
      <c r="I59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2</v>
      </c>
      <c r="F60" s="2" t="s">
        <v>145</v>
      </c>
      <c r="G60" s="12">
        <v>0</v>
      </c>
      <c r="H60" t="s">
        <v>34</v>
      </c>
      <c r="I60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1</v>
      </c>
      <c r="F61" s="2" t="s">
        <v>145</v>
      </c>
      <c r="G61" s="12">
        <v>1</v>
      </c>
      <c r="H61" t="s">
        <v>19</v>
      </c>
      <c r="I61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1</v>
      </c>
      <c r="F62" s="2" t="s">
        <v>145</v>
      </c>
      <c r="G62" s="12">
        <v>2</v>
      </c>
      <c r="H62" t="s">
        <v>68</v>
      </c>
      <c r="I62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2</v>
      </c>
      <c r="F63" s="2" t="s">
        <v>145</v>
      </c>
      <c r="G63" s="12">
        <v>0</v>
      </c>
      <c r="H63" t="s">
        <v>72</v>
      </c>
      <c r="I63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0</v>
      </c>
      <c r="F64" s="2" t="s">
        <v>145</v>
      </c>
      <c r="G64" s="12">
        <v>0</v>
      </c>
      <c r="H64" t="s">
        <v>62</v>
      </c>
      <c r="I64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2</v>
      </c>
      <c r="F65" s="2" t="s">
        <v>145</v>
      </c>
      <c r="G65" s="12">
        <v>2</v>
      </c>
      <c r="H65" t="s">
        <v>54</v>
      </c>
      <c r="I65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2</v>
      </c>
      <c r="F66" s="2" t="s">
        <v>145</v>
      </c>
      <c r="G66" s="12">
        <v>0</v>
      </c>
      <c r="H66" t="s">
        <v>65</v>
      </c>
      <c r="I66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0</v>
      </c>
      <c r="F67" s="2" t="s">
        <v>145</v>
      </c>
      <c r="G67" s="12">
        <v>2</v>
      </c>
      <c r="H67" t="s">
        <v>59</v>
      </c>
      <c r="I67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1</v>
      </c>
      <c r="F68" s="2" t="s">
        <v>145</v>
      </c>
      <c r="G68" s="12">
        <v>1</v>
      </c>
      <c r="H68" t="s">
        <v>88</v>
      </c>
      <c r="I68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1</v>
      </c>
      <c r="F69" s="2" t="s">
        <v>145</v>
      </c>
      <c r="G69" s="12">
        <v>3</v>
      </c>
      <c r="H69" t="s">
        <v>85</v>
      </c>
      <c r="I69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2</v>
      </c>
      <c r="F70" s="2" t="s">
        <v>145</v>
      </c>
      <c r="G70" s="12">
        <v>2</v>
      </c>
      <c r="H70" t="s">
        <v>82</v>
      </c>
      <c r="I70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3</v>
      </c>
      <c r="F71" s="2" t="s">
        <v>145</v>
      </c>
      <c r="G71" s="12">
        <v>0</v>
      </c>
      <c r="H71" t="s">
        <v>91</v>
      </c>
      <c r="I71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1</v>
      </c>
      <c r="F72" s="2" t="s">
        <v>145</v>
      </c>
      <c r="G72" s="12">
        <v>1</v>
      </c>
      <c r="H72" t="s">
        <v>78</v>
      </c>
      <c r="I72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0</v>
      </c>
      <c r="F73" s="2" t="s">
        <v>145</v>
      </c>
      <c r="G73" s="12">
        <v>3</v>
      </c>
      <c r="H73" t="s">
        <v>75</v>
      </c>
      <c r="I73" s="2">
        <f>IF(OR(Tabela_3334[[#This Row],[Placar Mandante]]="",Tabela_3334[[#This Row],[Placar Visitante]]="",Tabela_3[[#This Row],[Placar Mandante]]="",Tabela_3[[#This Row],[Placar Visitante]]=""),0,
IF(AND(Tabela_3334[[#This Row],[Placar Mandante]]=Tabela_3[[#This Row],[Placar Mandante]],Tabela_3334[[#This Row],[Placar Visitante]]=Tabela_3[[#This Row],[Placar Visitante]]),3,
IF(SIGN(Tabela_3334[[#This Row],[Placar Mandante]]-Tabela_3334[[#This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9BE56-4D90-49C8-952C-7A942E3C285F}">
  <dimension ref="A1:K73"/>
  <sheetViews>
    <sheetView topLeftCell="B1" zoomScaleNormal="100" workbookViewId="0">
      <selection activeCell="H75" sqref="H75"/>
    </sheetView>
  </sheetViews>
  <sheetFormatPr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1.2187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0</v>
      </c>
      <c r="F2" s="12" t="s">
        <v>145</v>
      </c>
      <c r="G2" s="12">
        <v>0</v>
      </c>
      <c r="H2" t="s">
        <v>7</v>
      </c>
      <c r="I2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  <c r="J2" s="13"/>
      <c r="K2" s="3">
        <f>SUM(Tabela_33471[Pontuação])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0</v>
      </c>
      <c r="F3" s="12" t="s">
        <v>145</v>
      </c>
      <c r="G3" s="12">
        <v>0</v>
      </c>
      <c r="H3" t="s">
        <v>12</v>
      </c>
      <c r="I3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0</v>
      </c>
      <c r="H4" t="s">
        <v>16</v>
      </c>
      <c r="I4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0</v>
      </c>
      <c r="F5" s="12" t="s">
        <v>145</v>
      </c>
      <c r="G5" s="12">
        <v>1</v>
      </c>
      <c r="H5" t="s">
        <v>20</v>
      </c>
      <c r="I5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1</v>
      </c>
      <c r="H6" t="s">
        <v>24</v>
      </c>
      <c r="I6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1</v>
      </c>
      <c r="F7" s="12" t="s">
        <v>145</v>
      </c>
      <c r="G7" s="12">
        <v>0</v>
      </c>
      <c r="H7" t="s">
        <v>28</v>
      </c>
      <c r="I7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1</v>
      </c>
      <c r="H8" t="s">
        <v>32</v>
      </c>
      <c r="I8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0</v>
      </c>
      <c r="F9" s="12" t="s">
        <v>145</v>
      </c>
      <c r="G9" s="12">
        <v>0</v>
      </c>
      <c r="H9" t="s">
        <v>35</v>
      </c>
      <c r="I9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1</v>
      </c>
      <c r="F10" s="12" t="s">
        <v>145</v>
      </c>
      <c r="G10" s="12">
        <v>0</v>
      </c>
      <c r="H10" t="s">
        <v>40</v>
      </c>
      <c r="I10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1</v>
      </c>
      <c r="F11" s="12" t="s">
        <v>145</v>
      </c>
      <c r="G11" s="12">
        <v>0</v>
      </c>
      <c r="H11" t="s">
        <v>44</v>
      </c>
      <c r="I11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0</v>
      </c>
      <c r="F12" s="12" t="s">
        <v>145</v>
      </c>
      <c r="G12" s="12">
        <v>1</v>
      </c>
      <c r="H12" t="s">
        <v>48</v>
      </c>
      <c r="I12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0</v>
      </c>
      <c r="H13" t="s">
        <v>52</v>
      </c>
      <c r="I13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1</v>
      </c>
      <c r="F14" s="12" t="s">
        <v>145</v>
      </c>
      <c r="G14" s="12">
        <v>0</v>
      </c>
      <c r="H14" t="s">
        <v>55</v>
      </c>
      <c r="I14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1</v>
      </c>
      <c r="F15" s="12" t="s">
        <v>145</v>
      </c>
      <c r="G15" s="12">
        <v>0</v>
      </c>
      <c r="H15" t="s">
        <v>60</v>
      </c>
      <c r="I15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1</v>
      </c>
      <c r="H16" t="s">
        <v>63</v>
      </c>
      <c r="I16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0</v>
      </c>
      <c r="F17" s="12" t="s">
        <v>145</v>
      </c>
      <c r="G17" s="12">
        <v>0</v>
      </c>
      <c r="H17" t="s">
        <v>66</v>
      </c>
      <c r="I17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1</v>
      </c>
      <c r="F18" s="12" t="s">
        <v>145</v>
      </c>
      <c r="G18" s="12">
        <v>0</v>
      </c>
      <c r="H18" t="s">
        <v>69</v>
      </c>
      <c r="I18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1</v>
      </c>
      <c r="H19" t="s">
        <v>73</v>
      </c>
      <c r="I19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1</v>
      </c>
      <c r="F20" s="12" t="s">
        <v>145</v>
      </c>
      <c r="G20" s="12">
        <v>0</v>
      </c>
      <c r="H20" t="s">
        <v>76</v>
      </c>
      <c r="I20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1</v>
      </c>
      <c r="F21" s="12" t="s">
        <v>145</v>
      </c>
      <c r="G21" s="12">
        <v>0</v>
      </c>
      <c r="H21" t="s">
        <v>79</v>
      </c>
      <c r="I21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1</v>
      </c>
      <c r="F22" s="12" t="s">
        <v>145</v>
      </c>
      <c r="G22" s="12">
        <v>0</v>
      </c>
      <c r="H22" t="s">
        <v>83</v>
      </c>
      <c r="I22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1</v>
      </c>
      <c r="F23" s="12" t="s">
        <v>145</v>
      </c>
      <c r="G23" s="12">
        <v>0</v>
      </c>
      <c r="H23" t="s">
        <v>86</v>
      </c>
      <c r="I23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1</v>
      </c>
      <c r="F24" s="12" t="s">
        <v>145</v>
      </c>
      <c r="G24" s="12">
        <v>0</v>
      </c>
      <c r="H24" t="s">
        <v>89</v>
      </c>
      <c r="I24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1</v>
      </c>
      <c r="H25" t="s">
        <v>92</v>
      </c>
      <c r="I25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0</v>
      </c>
      <c r="F26" s="12" t="s">
        <v>145</v>
      </c>
      <c r="G26" s="12">
        <v>0</v>
      </c>
      <c r="H26" t="s">
        <v>7</v>
      </c>
      <c r="I26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1</v>
      </c>
      <c r="F27" s="12" t="s">
        <v>145</v>
      </c>
      <c r="G27" s="12">
        <v>0</v>
      </c>
      <c r="H27" t="s">
        <v>16</v>
      </c>
      <c r="I27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1</v>
      </c>
      <c r="F28" s="12" t="s">
        <v>145</v>
      </c>
      <c r="G28" s="12">
        <v>0</v>
      </c>
      <c r="H28" t="s">
        <v>23</v>
      </c>
      <c r="I28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1</v>
      </c>
      <c r="F29" s="12" t="s">
        <v>145</v>
      </c>
      <c r="G29" s="12">
        <v>0</v>
      </c>
      <c r="H29" t="s">
        <v>11</v>
      </c>
      <c r="I29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1</v>
      </c>
      <c r="F30" s="12" t="s">
        <v>145</v>
      </c>
      <c r="G30" s="12">
        <v>0</v>
      </c>
      <c r="H30" t="s">
        <v>34</v>
      </c>
      <c r="I30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0</v>
      </c>
      <c r="F31" s="12" t="s">
        <v>145</v>
      </c>
      <c r="G31" s="12">
        <v>1</v>
      </c>
      <c r="H31" t="s">
        <v>28</v>
      </c>
      <c r="I31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1</v>
      </c>
      <c r="F32" s="12" t="s">
        <v>145</v>
      </c>
      <c r="G32" s="12">
        <v>0</v>
      </c>
      <c r="H32" t="s">
        <v>31</v>
      </c>
      <c r="I32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0</v>
      </c>
      <c r="F33" s="12" t="s">
        <v>145</v>
      </c>
      <c r="G33" s="12">
        <v>1</v>
      </c>
      <c r="H33" t="s">
        <v>20</v>
      </c>
      <c r="I33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1</v>
      </c>
      <c r="F34" s="12" t="s">
        <v>145</v>
      </c>
      <c r="G34" s="12">
        <v>0</v>
      </c>
      <c r="H34" t="s">
        <v>51</v>
      </c>
      <c r="I34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1</v>
      </c>
      <c r="F35" s="12" t="s">
        <v>145</v>
      </c>
      <c r="G35" s="12">
        <v>0</v>
      </c>
      <c r="H35" t="s">
        <v>47</v>
      </c>
      <c r="I35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1</v>
      </c>
      <c r="F36" s="12" t="s">
        <v>145</v>
      </c>
      <c r="G36" s="12">
        <v>0</v>
      </c>
      <c r="H36" t="s">
        <v>40</v>
      </c>
      <c r="I36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0</v>
      </c>
      <c r="F37" s="12" t="s">
        <v>145</v>
      </c>
      <c r="G37" s="12">
        <v>1</v>
      </c>
      <c r="H37" t="s">
        <v>44</v>
      </c>
      <c r="I37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1</v>
      </c>
      <c r="F38" s="12" t="s">
        <v>145</v>
      </c>
      <c r="G38" s="12">
        <v>0</v>
      </c>
      <c r="H38" t="s">
        <v>62</v>
      </c>
      <c r="I38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1</v>
      </c>
      <c r="F39" s="12" t="s">
        <v>145</v>
      </c>
      <c r="G39" s="12">
        <v>0</v>
      </c>
      <c r="H39" t="s">
        <v>65</v>
      </c>
      <c r="I39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1</v>
      </c>
      <c r="F40" s="12" t="s">
        <v>145</v>
      </c>
      <c r="G40" s="12">
        <v>0</v>
      </c>
      <c r="H40" t="s">
        <v>55</v>
      </c>
      <c r="I40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1</v>
      </c>
      <c r="H41" t="s">
        <v>60</v>
      </c>
      <c r="I41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1</v>
      </c>
      <c r="F42" s="12" t="s">
        <v>145</v>
      </c>
      <c r="G42" s="12">
        <v>0</v>
      </c>
      <c r="H42" t="s">
        <v>78</v>
      </c>
      <c r="I42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1</v>
      </c>
      <c r="F43" s="12" t="s">
        <v>145</v>
      </c>
      <c r="G43" s="12">
        <v>0</v>
      </c>
      <c r="H43" t="s">
        <v>72</v>
      </c>
      <c r="I43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0</v>
      </c>
      <c r="F44" s="12" t="s">
        <v>145</v>
      </c>
      <c r="G44" s="12">
        <v>0</v>
      </c>
      <c r="H44" t="s">
        <v>69</v>
      </c>
      <c r="I44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0</v>
      </c>
      <c r="H45" t="s">
        <v>76</v>
      </c>
      <c r="I45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1</v>
      </c>
      <c r="F46" s="12" t="s">
        <v>145</v>
      </c>
      <c r="G46" s="12">
        <v>0</v>
      </c>
      <c r="H46" t="s">
        <v>91</v>
      </c>
      <c r="I46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1</v>
      </c>
      <c r="F47" s="12" t="s">
        <v>145</v>
      </c>
      <c r="G47" s="12">
        <v>0</v>
      </c>
      <c r="H47" t="s">
        <v>88</v>
      </c>
      <c r="I47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1</v>
      </c>
      <c r="H48" t="s">
        <v>86</v>
      </c>
      <c r="I48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1</v>
      </c>
      <c r="F49" s="12" t="s">
        <v>145</v>
      </c>
      <c r="G49" s="12">
        <v>0</v>
      </c>
      <c r="H49" t="s">
        <v>83</v>
      </c>
      <c r="I49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0</v>
      </c>
      <c r="F50" s="12" t="s">
        <v>145</v>
      </c>
      <c r="G50" s="12">
        <v>0</v>
      </c>
      <c r="H50" t="s">
        <v>23</v>
      </c>
      <c r="I50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0</v>
      </c>
      <c r="H51" t="s">
        <v>15</v>
      </c>
      <c r="I51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1</v>
      </c>
      <c r="H52" t="s">
        <v>27</v>
      </c>
      <c r="I52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1</v>
      </c>
      <c r="F53" s="12" t="s">
        <v>145</v>
      </c>
      <c r="G53" s="12">
        <v>0</v>
      </c>
      <c r="H53" t="s">
        <v>31</v>
      </c>
      <c r="I53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0</v>
      </c>
      <c r="F54" s="12" t="s">
        <v>145</v>
      </c>
      <c r="G54" s="12">
        <v>0</v>
      </c>
      <c r="H54" t="s">
        <v>11</v>
      </c>
      <c r="I54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0</v>
      </c>
      <c r="F55" s="12" t="s">
        <v>145</v>
      </c>
      <c r="G55" s="12">
        <v>1</v>
      </c>
      <c r="H55" t="s">
        <v>6</v>
      </c>
      <c r="I55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0</v>
      </c>
      <c r="H56" t="s">
        <v>47</v>
      </c>
      <c r="I56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0</v>
      </c>
      <c r="F57" s="12" t="s">
        <v>145</v>
      </c>
      <c r="G57" s="12">
        <v>1</v>
      </c>
      <c r="H57" t="s">
        <v>39</v>
      </c>
      <c r="I57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0</v>
      </c>
      <c r="H58" t="s">
        <v>51</v>
      </c>
      <c r="I58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1</v>
      </c>
      <c r="H59" t="s">
        <v>43</v>
      </c>
      <c r="I59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0</v>
      </c>
      <c r="H60" t="s">
        <v>34</v>
      </c>
      <c r="I60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0</v>
      </c>
      <c r="F61" s="12" t="s">
        <v>145</v>
      </c>
      <c r="G61" s="12">
        <v>1</v>
      </c>
      <c r="H61" t="s">
        <v>19</v>
      </c>
      <c r="I61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0</v>
      </c>
      <c r="F62" s="12" t="s">
        <v>145</v>
      </c>
      <c r="G62" s="12">
        <v>1</v>
      </c>
      <c r="H62" t="s">
        <v>68</v>
      </c>
      <c r="I62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1</v>
      </c>
      <c r="F63" s="12" t="s">
        <v>145</v>
      </c>
      <c r="G63" s="12">
        <v>0</v>
      </c>
      <c r="H63" t="s">
        <v>72</v>
      </c>
      <c r="I63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0</v>
      </c>
      <c r="F64" s="12" t="s">
        <v>145</v>
      </c>
      <c r="G64" s="12">
        <v>1</v>
      </c>
      <c r="H64" t="s">
        <v>62</v>
      </c>
      <c r="I64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0</v>
      </c>
      <c r="F65" s="12" t="s">
        <v>145</v>
      </c>
      <c r="G65" s="12">
        <v>1</v>
      </c>
      <c r="H65" t="s">
        <v>54</v>
      </c>
      <c r="I65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0</v>
      </c>
      <c r="H66" t="s">
        <v>65</v>
      </c>
      <c r="I66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1</v>
      </c>
      <c r="H67" t="s">
        <v>59</v>
      </c>
      <c r="I67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1</v>
      </c>
      <c r="F68" s="12" t="s">
        <v>145</v>
      </c>
      <c r="G68" s="12">
        <v>0</v>
      </c>
      <c r="H68" t="s">
        <v>88</v>
      </c>
      <c r="I68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1</v>
      </c>
      <c r="H69" t="s">
        <v>85</v>
      </c>
      <c r="I69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0</v>
      </c>
      <c r="F70" s="12" t="s">
        <v>145</v>
      </c>
      <c r="G70" s="12">
        <v>1</v>
      </c>
      <c r="H70" t="s">
        <v>82</v>
      </c>
      <c r="I70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0</v>
      </c>
      <c r="F71" s="12" t="s">
        <v>145</v>
      </c>
      <c r="G71" s="12">
        <v>0</v>
      </c>
      <c r="H71" t="s">
        <v>91</v>
      </c>
      <c r="I71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0</v>
      </c>
      <c r="F72" s="12" t="s">
        <v>145</v>
      </c>
      <c r="G72" s="12">
        <v>0</v>
      </c>
      <c r="H72" t="s">
        <v>78</v>
      </c>
      <c r="I72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1</v>
      </c>
      <c r="H73" t="s">
        <v>75</v>
      </c>
      <c r="I73" s="12">
        <f>IF(OR(Tabela_33471[[#This Row],[Placar Mandante]]="",Tabela_33471[[#This Row],[Placar Visitante]]="",Tabela_3[[#This Row],[Placar Mandante]]="",Tabela_3[[#This Row],[Placar Visitante]]=""),0,
IF(AND(Tabela_33471[[#This Row],[Placar Mandante]]=Tabela_3[[#This Row],[Placar Mandante]],Tabela_33471[[#This Row],[Placar Visitante]]=Tabela_3[[#This Row],[Placar Visitante]]),3,
IF(SIGN(Tabela_33471[[#This Row],[Placar Mandante]]-Tabela_33471[[#This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6350-A601-426A-A40C-EF69ABE21918}">
  <sheetPr codeName="Planilha7"/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2</v>
      </c>
      <c r="F2" s="2" t="s">
        <v>145</v>
      </c>
      <c r="G2" s="12">
        <v>1</v>
      </c>
      <c r="H2" t="s">
        <v>7</v>
      </c>
      <c r="I2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  <c r="K2" s="3">
        <f>SUM(Tabela_3335[Pontuação])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1</v>
      </c>
      <c r="F3" s="2" t="s">
        <v>145</v>
      </c>
      <c r="G3" s="12">
        <v>0</v>
      </c>
      <c r="H3" t="s">
        <v>12</v>
      </c>
      <c r="I3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1</v>
      </c>
      <c r="F4" s="2" t="s">
        <v>145</v>
      </c>
      <c r="G4" s="12">
        <v>1</v>
      </c>
      <c r="H4" t="s">
        <v>16</v>
      </c>
      <c r="I4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1</v>
      </c>
      <c r="F5" s="2" t="s">
        <v>145</v>
      </c>
      <c r="G5" s="12">
        <v>1</v>
      </c>
      <c r="H5" t="s">
        <v>20</v>
      </c>
      <c r="I5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1</v>
      </c>
      <c r="H6" t="s">
        <v>24</v>
      </c>
      <c r="I6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2</v>
      </c>
      <c r="F7" s="2" t="s">
        <v>145</v>
      </c>
      <c r="G7" s="12">
        <v>1</v>
      </c>
      <c r="H7" t="s">
        <v>28</v>
      </c>
      <c r="I7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0</v>
      </c>
      <c r="F8" s="2" t="s">
        <v>145</v>
      </c>
      <c r="G8" s="12">
        <v>2</v>
      </c>
      <c r="H8" t="s">
        <v>32</v>
      </c>
      <c r="I8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1</v>
      </c>
      <c r="F9" s="2" t="s">
        <v>145</v>
      </c>
      <c r="G9" s="12">
        <v>1</v>
      </c>
      <c r="H9" t="s">
        <v>35</v>
      </c>
      <c r="I9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3</v>
      </c>
      <c r="F10" s="2" t="s">
        <v>145</v>
      </c>
      <c r="G10" s="12">
        <v>0</v>
      </c>
      <c r="H10" t="s">
        <v>40</v>
      </c>
      <c r="I10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2</v>
      </c>
      <c r="F11" s="2" t="s">
        <v>145</v>
      </c>
      <c r="G11" s="12">
        <v>2</v>
      </c>
      <c r="H11" t="s">
        <v>44</v>
      </c>
      <c r="I11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1</v>
      </c>
      <c r="F12" s="2" t="s">
        <v>145</v>
      </c>
      <c r="G12" s="12">
        <v>1</v>
      </c>
      <c r="H12" t="s">
        <v>48</v>
      </c>
      <c r="I12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1</v>
      </c>
      <c r="F13" s="2" t="s">
        <v>145</v>
      </c>
      <c r="G13" s="12">
        <v>2</v>
      </c>
      <c r="H13" t="s">
        <v>52</v>
      </c>
      <c r="I13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3</v>
      </c>
      <c r="F14" s="2" t="s">
        <v>145</v>
      </c>
      <c r="G14" s="12">
        <v>0</v>
      </c>
      <c r="H14" t="s">
        <v>55</v>
      </c>
      <c r="I14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2</v>
      </c>
      <c r="F15" s="2" t="s">
        <v>145</v>
      </c>
      <c r="G15" s="12">
        <v>0</v>
      </c>
      <c r="H15" t="s">
        <v>60</v>
      </c>
      <c r="I15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0</v>
      </c>
      <c r="F16" s="2" t="s">
        <v>145</v>
      </c>
      <c r="G16" s="12">
        <v>2</v>
      </c>
      <c r="H16" t="s">
        <v>63</v>
      </c>
      <c r="I16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0</v>
      </c>
      <c r="F17" s="2" t="s">
        <v>145</v>
      </c>
      <c r="G17" s="12">
        <v>0</v>
      </c>
      <c r="H17" t="s">
        <v>66</v>
      </c>
      <c r="I17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2</v>
      </c>
      <c r="F18" s="2" t="s">
        <v>145</v>
      </c>
      <c r="G18" s="12">
        <v>1</v>
      </c>
      <c r="H18" t="s">
        <v>69</v>
      </c>
      <c r="I18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0</v>
      </c>
      <c r="F19" s="2" t="s">
        <v>145</v>
      </c>
      <c r="G19" s="12">
        <v>3</v>
      </c>
      <c r="H19" t="s">
        <v>73</v>
      </c>
      <c r="I19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2</v>
      </c>
      <c r="F20" s="2" t="s">
        <v>145</v>
      </c>
      <c r="G20" s="12">
        <v>0</v>
      </c>
      <c r="H20" t="s">
        <v>76</v>
      </c>
      <c r="I20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0</v>
      </c>
      <c r="F21" s="2" t="s">
        <v>145</v>
      </c>
      <c r="G21" s="12">
        <v>0</v>
      </c>
      <c r="H21" t="s">
        <v>79</v>
      </c>
      <c r="I21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2</v>
      </c>
      <c r="F22" s="2" t="s">
        <v>145</v>
      </c>
      <c r="G22" s="12">
        <v>0</v>
      </c>
      <c r="H22" t="s">
        <v>83</v>
      </c>
      <c r="I22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3</v>
      </c>
      <c r="F23" s="2" t="s">
        <v>145</v>
      </c>
      <c r="G23" s="12">
        <v>2</v>
      </c>
      <c r="H23" t="s">
        <v>86</v>
      </c>
      <c r="I23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2</v>
      </c>
      <c r="F24" s="2" t="s">
        <v>145</v>
      </c>
      <c r="G24" s="12">
        <v>0</v>
      </c>
      <c r="H24" t="s">
        <v>89</v>
      </c>
      <c r="I24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1</v>
      </c>
      <c r="H25" t="s">
        <v>92</v>
      </c>
      <c r="I25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1</v>
      </c>
      <c r="F26" s="2" t="s">
        <v>145</v>
      </c>
      <c r="G26" s="12">
        <v>2</v>
      </c>
      <c r="H26" t="s">
        <v>7</v>
      </c>
      <c r="I26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1</v>
      </c>
      <c r="F27" s="2" t="s">
        <v>145</v>
      </c>
      <c r="G27" s="12">
        <v>0</v>
      </c>
      <c r="H27" t="s">
        <v>16</v>
      </c>
      <c r="I27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0</v>
      </c>
      <c r="F28" s="2" t="s">
        <v>145</v>
      </c>
      <c r="G28" s="12">
        <v>0</v>
      </c>
      <c r="H28" t="s">
        <v>23</v>
      </c>
      <c r="I28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1</v>
      </c>
      <c r="F29" s="2" t="s">
        <v>145</v>
      </c>
      <c r="G29" s="12">
        <v>1</v>
      </c>
      <c r="H29" t="s">
        <v>11</v>
      </c>
      <c r="I29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1</v>
      </c>
      <c r="F30" s="2" t="s">
        <v>145</v>
      </c>
      <c r="G30" s="12">
        <v>0</v>
      </c>
      <c r="H30" t="s">
        <v>34</v>
      </c>
      <c r="I30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0</v>
      </c>
      <c r="F31" s="2" t="s">
        <v>145</v>
      </c>
      <c r="G31" s="12">
        <v>2</v>
      </c>
      <c r="H31" t="s">
        <v>28</v>
      </c>
      <c r="I31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3</v>
      </c>
      <c r="F32" s="2" t="s">
        <v>145</v>
      </c>
      <c r="G32" s="12">
        <v>0</v>
      </c>
      <c r="H32" t="s">
        <v>31</v>
      </c>
      <c r="I32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1</v>
      </c>
      <c r="F33" s="2" t="s">
        <v>145</v>
      </c>
      <c r="G33" s="12">
        <v>1</v>
      </c>
      <c r="H33" t="s">
        <v>20</v>
      </c>
      <c r="I33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2</v>
      </c>
      <c r="F34" s="2" t="s">
        <v>145</v>
      </c>
      <c r="G34" s="12">
        <v>1</v>
      </c>
      <c r="H34" t="s">
        <v>51</v>
      </c>
      <c r="I34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3</v>
      </c>
      <c r="F35" s="2" t="s">
        <v>145</v>
      </c>
      <c r="G35" s="12">
        <v>1</v>
      </c>
      <c r="H35" t="s">
        <v>47</v>
      </c>
      <c r="I35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2</v>
      </c>
      <c r="F36" s="2" t="s">
        <v>145</v>
      </c>
      <c r="G36" s="12">
        <v>0</v>
      </c>
      <c r="H36" t="s">
        <v>40</v>
      </c>
      <c r="I36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1</v>
      </c>
      <c r="F37" s="2" t="s">
        <v>145</v>
      </c>
      <c r="G37" s="12">
        <v>0</v>
      </c>
      <c r="H37" t="s">
        <v>44</v>
      </c>
      <c r="I37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2</v>
      </c>
      <c r="F38" s="2" t="s">
        <v>145</v>
      </c>
      <c r="G38" s="12">
        <v>0</v>
      </c>
      <c r="H38" t="s">
        <v>62</v>
      </c>
      <c r="I38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3</v>
      </c>
      <c r="F39" s="2" t="s">
        <v>145</v>
      </c>
      <c r="G39" s="12">
        <v>0</v>
      </c>
      <c r="H39" t="s">
        <v>65</v>
      </c>
      <c r="I39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2</v>
      </c>
      <c r="F40" s="2" t="s">
        <v>145</v>
      </c>
      <c r="G40" s="12">
        <v>0</v>
      </c>
      <c r="H40" t="s">
        <v>55</v>
      </c>
      <c r="I40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0</v>
      </c>
      <c r="F41" s="2" t="s">
        <v>145</v>
      </c>
      <c r="G41" s="12">
        <v>1</v>
      </c>
      <c r="H41" t="s">
        <v>60</v>
      </c>
      <c r="I41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3</v>
      </c>
      <c r="F42" s="2" t="s">
        <v>145</v>
      </c>
      <c r="G42" s="12">
        <v>0</v>
      </c>
      <c r="H42" t="s">
        <v>78</v>
      </c>
      <c r="I42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4</v>
      </c>
      <c r="F43" s="2" t="s">
        <v>145</v>
      </c>
      <c r="G43" s="12">
        <v>0</v>
      </c>
      <c r="H43" t="s">
        <v>72</v>
      </c>
      <c r="I43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2</v>
      </c>
      <c r="F44" s="2" t="s">
        <v>145</v>
      </c>
      <c r="G44" s="12">
        <v>2</v>
      </c>
      <c r="H44" t="s">
        <v>69</v>
      </c>
      <c r="I44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0</v>
      </c>
      <c r="F45" s="2" t="s">
        <v>145</v>
      </c>
      <c r="G45" s="12">
        <v>1</v>
      </c>
      <c r="H45" t="s">
        <v>76</v>
      </c>
      <c r="I45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2</v>
      </c>
      <c r="F46" s="2" t="s">
        <v>145</v>
      </c>
      <c r="G46" s="12">
        <v>0</v>
      </c>
      <c r="H46" t="s">
        <v>91</v>
      </c>
      <c r="I46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2</v>
      </c>
      <c r="F47" s="2" t="s">
        <v>145</v>
      </c>
      <c r="G47" s="12">
        <v>1</v>
      </c>
      <c r="H47" t="s">
        <v>88</v>
      </c>
      <c r="I47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0</v>
      </c>
      <c r="F48" s="2" t="s">
        <v>145</v>
      </c>
      <c r="G48" s="12">
        <v>2</v>
      </c>
      <c r="H48" t="s">
        <v>86</v>
      </c>
      <c r="I48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1</v>
      </c>
      <c r="F49" s="2" t="s">
        <v>145</v>
      </c>
      <c r="G49" s="12">
        <v>0</v>
      </c>
      <c r="H49" t="s">
        <v>83</v>
      </c>
      <c r="I49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1</v>
      </c>
      <c r="F50" s="2" t="s">
        <v>145</v>
      </c>
      <c r="G50" s="12">
        <v>1</v>
      </c>
      <c r="H50" t="s">
        <v>23</v>
      </c>
      <c r="I50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1</v>
      </c>
      <c r="F51" s="2" t="s">
        <v>145</v>
      </c>
      <c r="G51" s="12">
        <v>1</v>
      </c>
      <c r="H51" t="s">
        <v>15</v>
      </c>
      <c r="I51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0</v>
      </c>
      <c r="F52" s="2" t="s">
        <v>145</v>
      </c>
      <c r="G52" s="12">
        <v>3</v>
      </c>
      <c r="H52" t="s">
        <v>27</v>
      </c>
      <c r="I52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2</v>
      </c>
      <c r="F53" s="2" t="s">
        <v>145</v>
      </c>
      <c r="G53" s="12">
        <v>0</v>
      </c>
      <c r="H53" t="s">
        <v>31</v>
      </c>
      <c r="I53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1</v>
      </c>
      <c r="F54" s="2" t="s">
        <v>145</v>
      </c>
      <c r="G54" s="12">
        <v>2</v>
      </c>
      <c r="H54" t="s">
        <v>11</v>
      </c>
      <c r="I54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0</v>
      </c>
      <c r="F55" s="2" t="s">
        <v>145</v>
      </c>
      <c r="G55" s="12">
        <v>2</v>
      </c>
      <c r="H55" t="s">
        <v>6</v>
      </c>
      <c r="I55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0</v>
      </c>
      <c r="F56" s="2" t="s">
        <v>145</v>
      </c>
      <c r="G56" s="12">
        <v>0</v>
      </c>
      <c r="H56" t="s">
        <v>47</v>
      </c>
      <c r="I56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0</v>
      </c>
      <c r="F57" s="2" t="s">
        <v>145</v>
      </c>
      <c r="G57" s="12">
        <v>2</v>
      </c>
      <c r="H57" t="s">
        <v>39</v>
      </c>
      <c r="I57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2</v>
      </c>
      <c r="F58" s="2" t="s">
        <v>145</v>
      </c>
      <c r="G58" s="12">
        <v>1</v>
      </c>
      <c r="H58" t="s">
        <v>51</v>
      </c>
      <c r="I58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1</v>
      </c>
      <c r="F59" s="2" t="s">
        <v>145</v>
      </c>
      <c r="G59" s="12">
        <v>2</v>
      </c>
      <c r="H59" t="s">
        <v>43</v>
      </c>
      <c r="I59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1</v>
      </c>
      <c r="F60" s="2" t="s">
        <v>145</v>
      </c>
      <c r="G60" s="12">
        <v>1</v>
      </c>
      <c r="H60" t="s">
        <v>34</v>
      </c>
      <c r="I60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2</v>
      </c>
      <c r="F61" s="2" t="s">
        <v>145</v>
      </c>
      <c r="G61" s="12">
        <v>1</v>
      </c>
      <c r="H61" t="s">
        <v>19</v>
      </c>
      <c r="I61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1</v>
      </c>
      <c r="F62" s="2" t="s">
        <v>145</v>
      </c>
      <c r="G62" s="12">
        <v>2</v>
      </c>
      <c r="H62" t="s">
        <v>68</v>
      </c>
      <c r="I62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3</v>
      </c>
      <c r="F63" s="2" t="s">
        <v>145</v>
      </c>
      <c r="G63" s="12">
        <v>0</v>
      </c>
      <c r="H63" t="s">
        <v>72</v>
      </c>
      <c r="I63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0</v>
      </c>
      <c r="F64" s="2" t="s">
        <v>145</v>
      </c>
      <c r="G64" s="12">
        <v>1</v>
      </c>
      <c r="H64" t="s">
        <v>62</v>
      </c>
      <c r="I64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2</v>
      </c>
      <c r="F65" s="2" t="s">
        <v>145</v>
      </c>
      <c r="G65" s="12">
        <v>3</v>
      </c>
      <c r="H65" t="s">
        <v>54</v>
      </c>
      <c r="I65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1</v>
      </c>
      <c r="F66" s="2" t="s">
        <v>145</v>
      </c>
      <c r="G66" s="12">
        <v>0</v>
      </c>
      <c r="H66" t="s">
        <v>65</v>
      </c>
      <c r="I66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0</v>
      </c>
      <c r="F67" s="2" t="s">
        <v>145</v>
      </c>
      <c r="G67" s="12">
        <v>2</v>
      </c>
      <c r="H67" t="s">
        <v>59</v>
      </c>
      <c r="I67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2</v>
      </c>
      <c r="F68" s="2" t="s">
        <v>145</v>
      </c>
      <c r="G68" s="12">
        <v>1</v>
      </c>
      <c r="H68" t="s">
        <v>88</v>
      </c>
      <c r="I68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0</v>
      </c>
      <c r="F69" s="2" t="s">
        <v>145</v>
      </c>
      <c r="G69" s="12">
        <v>2</v>
      </c>
      <c r="H69" t="s">
        <v>85</v>
      </c>
      <c r="I69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1</v>
      </c>
      <c r="F70" s="2" t="s">
        <v>145</v>
      </c>
      <c r="G70" s="12">
        <v>2</v>
      </c>
      <c r="H70" t="s">
        <v>82</v>
      </c>
      <c r="I70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1</v>
      </c>
      <c r="F71" s="2" t="s">
        <v>145</v>
      </c>
      <c r="G71" s="12">
        <v>1</v>
      </c>
      <c r="H71" t="s">
        <v>91</v>
      </c>
      <c r="I71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1</v>
      </c>
      <c r="F72" s="2" t="s">
        <v>145</v>
      </c>
      <c r="G72" s="12">
        <v>1</v>
      </c>
      <c r="H72" t="s">
        <v>78</v>
      </c>
      <c r="I72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0</v>
      </c>
      <c r="F73" s="2" t="s">
        <v>145</v>
      </c>
      <c r="G73" s="12">
        <v>3</v>
      </c>
      <c r="H73" t="s">
        <v>75</v>
      </c>
      <c r="I73" s="2">
        <f>IF(OR(Tabela_3335[[#This Row],[Placar Mandante]]="",Tabela_3335[[#This Row],[Placar Visitante]]="",Tabela_3[[#This Row],[Placar Mandante]]="",Tabela_3[[#This Row],[Placar Visitante]]=""),0,
IF(AND(Tabela_3335[[#This Row],[Placar Mandante]]=Tabela_3[[#This Row],[Placar Mandante]],Tabela_3335[[#This Row],[Placar Visitante]]=Tabela_3[[#This Row],[Placar Visitante]]),3,
IF(SIGN(Tabela_3335[[#This Row],[Placar Mandante]]-Tabela_3335[[#This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4006-54CB-4604-A3DA-7004687DF9C6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1.7773437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0</v>
      </c>
      <c r="H2" t="s">
        <v>7</v>
      </c>
      <c r="I2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  <c r="J2" s="13"/>
      <c r="K2" s="3">
        <f>SUM(Tabela_33472[Pontuação])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2</v>
      </c>
      <c r="H3" t="s">
        <v>12</v>
      </c>
      <c r="I3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0</v>
      </c>
      <c r="H4" t="s">
        <v>16</v>
      </c>
      <c r="I4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2</v>
      </c>
      <c r="F5" s="12" t="s">
        <v>145</v>
      </c>
      <c r="G5" s="12">
        <v>1</v>
      </c>
      <c r="H5" t="s">
        <v>20</v>
      </c>
      <c r="I5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1</v>
      </c>
      <c r="H7" t="s">
        <v>28</v>
      </c>
      <c r="I7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2</v>
      </c>
      <c r="H8" t="s">
        <v>32</v>
      </c>
      <c r="I8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2</v>
      </c>
      <c r="H9" t="s">
        <v>35</v>
      </c>
      <c r="I9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4</v>
      </c>
      <c r="F10" s="12" t="s">
        <v>145</v>
      </c>
      <c r="G10" s="12">
        <v>0</v>
      </c>
      <c r="H10" t="s">
        <v>40</v>
      </c>
      <c r="I10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2</v>
      </c>
      <c r="H11" t="s">
        <v>44</v>
      </c>
      <c r="I11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1</v>
      </c>
      <c r="H12" t="s">
        <v>48</v>
      </c>
      <c r="I12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3</v>
      </c>
      <c r="F13" s="12" t="s">
        <v>145</v>
      </c>
      <c r="G13" s="12">
        <v>1</v>
      </c>
      <c r="H13" t="s">
        <v>52</v>
      </c>
      <c r="I13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0</v>
      </c>
      <c r="H14" t="s">
        <v>55</v>
      </c>
      <c r="I14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0</v>
      </c>
      <c r="H15" t="s">
        <v>60</v>
      </c>
      <c r="I15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1</v>
      </c>
      <c r="F16" s="12" t="s">
        <v>145</v>
      </c>
      <c r="G16" s="12">
        <v>2</v>
      </c>
      <c r="H16" t="s">
        <v>63</v>
      </c>
      <c r="I16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1</v>
      </c>
      <c r="H17" t="s">
        <v>66</v>
      </c>
      <c r="I17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3</v>
      </c>
      <c r="F18" s="12" t="s">
        <v>145</v>
      </c>
      <c r="G18" s="12">
        <v>1</v>
      </c>
      <c r="H18" t="s">
        <v>69</v>
      </c>
      <c r="I18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1</v>
      </c>
      <c r="F19" s="12" t="s">
        <v>145</v>
      </c>
      <c r="G19" s="12">
        <v>1</v>
      </c>
      <c r="H19" t="s">
        <v>73</v>
      </c>
      <c r="I19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2</v>
      </c>
      <c r="F20" s="12" t="s">
        <v>145</v>
      </c>
      <c r="G20" s="12">
        <v>0</v>
      </c>
      <c r="H20" t="s">
        <v>76</v>
      </c>
      <c r="I20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0</v>
      </c>
      <c r="H21" t="s">
        <v>79</v>
      </c>
      <c r="I21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0</v>
      </c>
      <c r="H22" t="s">
        <v>83</v>
      </c>
      <c r="I22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1</v>
      </c>
      <c r="H23" t="s">
        <v>86</v>
      </c>
      <c r="I23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1</v>
      </c>
      <c r="H24" t="s">
        <v>89</v>
      </c>
      <c r="I24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0</v>
      </c>
      <c r="H26" t="s">
        <v>7</v>
      </c>
      <c r="I26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1</v>
      </c>
      <c r="H27" t="s">
        <v>16</v>
      </c>
      <c r="I27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0</v>
      </c>
      <c r="H28" t="s">
        <v>23</v>
      </c>
      <c r="I28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0</v>
      </c>
      <c r="H30" t="s">
        <v>34</v>
      </c>
      <c r="I30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2</v>
      </c>
      <c r="H31" t="s">
        <v>28</v>
      </c>
      <c r="I31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2</v>
      </c>
      <c r="F32" s="12" t="s">
        <v>145</v>
      </c>
      <c r="G32" s="12">
        <v>0</v>
      </c>
      <c r="H32" t="s">
        <v>31</v>
      </c>
      <c r="I32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2</v>
      </c>
      <c r="F33" s="12" t="s">
        <v>145</v>
      </c>
      <c r="G33" s="12">
        <v>1</v>
      </c>
      <c r="H33" t="s">
        <v>20</v>
      </c>
      <c r="I33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1</v>
      </c>
      <c r="F34" s="12" t="s">
        <v>145</v>
      </c>
      <c r="G34" s="12">
        <v>1</v>
      </c>
      <c r="H34" t="s">
        <v>51</v>
      </c>
      <c r="I34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1</v>
      </c>
      <c r="H35" t="s">
        <v>47</v>
      </c>
      <c r="I35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1</v>
      </c>
      <c r="H36" t="s">
        <v>40</v>
      </c>
      <c r="I36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2</v>
      </c>
      <c r="H37" t="s">
        <v>44</v>
      </c>
      <c r="I37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0</v>
      </c>
      <c r="H38" t="s">
        <v>62</v>
      </c>
      <c r="I38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0</v>
      </c>
      <c r="H39" t="s">
        <v>65</v>
      </c>
      <c r="I39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2</v>
      </c>
      <c r="F40" s="12" t="s">
        <v>145</v>
      </c>
      <c r="G40" s="12">
        <v>0</v>
      </c>
      <c r="H40" t="s">
        <v>55</v>
      </c>
      <c r="I40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1</v>
      </c>
      <c r="F41" s="12" t="s">
        <v>145</v>
      </c>
      <c r="G41" s="12">
        <v>2</v>
      </c>
      <c r="H41" t="s">
        <v>60</v>
      </c>
      <c r="I41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1</v>
      </c>
      <c r="H42" t="s">
        <v>78</v>
      </c>
      <c r="I42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2</v>
      </c>
      <c r="F43" s="12" t="s">
        <v>145</v>
      </c>
      <c r="G43" s="12">
        <v>0</v>
      </c>
      <c r="H43" t="s">
        <v>72</v>
      </c>
      <c r="I43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2</v>
      </c>
      <c r="H44" t="s">
        <v>69</v>
      </c>
      <c r="I44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2</v>
      </c>
      <c r="H45" t="s">
        <v>76</v>
      </c>
      <c r="I45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0</v>
      </c>
      <c r="H46" t="s">
        <v>91</v>
      </c>
      <c r="I46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3</v>
      </c>
      <c r="F47" s="12" t="s">
        <v>145</v>
      </c>
      <c r="G47" s="12">
        <v>2</v>
      </c>
      <c r="H47" t="s">
        <v>88</v>
      </c>
      <c r="I47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1</v>
      </c>
      <c r="F48" s="12" t="s">
        <v>145</v>
      </c>
      <c r="G48" s="12">
        <v>2</v>
      </c>
      <c r="H48" t="s">
        <v>86</v>
      </c>
      <c r="I48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0</v>
      </c>
      <c r="H49" t="s">
        <v>83</v>
      </c>
      <c r="I49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2</v>
      </c>
      <c r="F50" s="12" t="s">
        <v>145</v>
      </c>
      <c r="G50" s="12">
        <v>0</v>
      </c>
      <c r="H50" t="s">
        <v>23</v>
      </c>
      <c r="I50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2</v>
      </c>
      <c r="F51" s="12" t="s">
        <v>145</v>
      </c>
      <c r="G51" s="12">
        <v>0</v>
      </c>
      <c r="H51" t="s">
        <v>15</v>
      </c>
      <c r="I51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1</v>
      </c>
      <c r="F52" s="12" t="s">
        <v>145</v>
      </c>
      <c r="G52" s="12">
        <v>2</v>
      </c>
      <c r="H52" t="s">
        <v>27</v>
      </c>
      <c r="I52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1</v>
      </c>
      <c r="H53" t="s">
        <v>31</v>
      </c>
      <c r="I53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2</v>
      </c>
      <c r="F54" s="12" t="s">
        <v>145</v>
      </c>
      <c r="G54" s="12">
        <v>1</v>
      </c>
      <c r="H54" t="s">
        <v>11</v>
      </c>
      <c r="I54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2</v>
      </c>
      <c r="H55" t="s">
        <v>6</v>
      </c>
      <c r="I55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2</v>
      </c>
      <c r="H56" t="s">
        <v>47</v>
      </c>
      <c r="I56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2</v>
      </c>
      <c r="H57" t="s">
        <v>39</v>
      </c>
      <c r="I57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2</v>
      </c>
      <c r="H58" t="s">
        <v>51</v>
      </c>
      <c r="I58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3</v>
      </c>
      <c r="H59" t="s">
        <v>43</v>
      </c>
      <c r="I59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1</v>
      </c>
      <c r="H60" t="s">
        <v>34</v>
      </c>
      <c r="I60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2</v>
      </c>
      <c r="H61" t="s">
        <v>19</v>
      </c>
      <c r="I61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3</v>
      </c>
      <c r="H62" t="s">
        <v>68</v>
      </c>
      <c r="I62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1</v>
      </c>
      <c r="H63" t="s">
        <v>72</v>
      </c>
      <c r="I63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0</v>
      </c>
      <c r="F64" s="12" t="s">
        <v>145</v>
      </c>
      <c r="G64" s="12">
        <v>2</v>
      </c>
      <c r="H64" t="s">
        <v>62</v>
      </c>
      <c r="I64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2</v>
      </c>
      <c r="H65" t="s">
        <v>54</v>
      </c>
      <c r="I65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2</v>
      </c>
      <c r="F66" s="12" t="s">
        <v>145</v>
      </c>
      <c r="G66" s="12">
        <v>0</v>
      </c>
      <c r="H66" t="s">
        <v>65</v>
      </c>
      <c r="I66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2</v>
      </c>
      <c r="H67" t="s">
        <v>59</v>
      </c>
      <c r="I67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1</v>
      </c>
      <c r="H68" t="s">
        <v>88</v>
      </c>
      <c r="I68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1</v>
      </c>
      <c r="F69" s="12" t="s">
        <v>145</v>
      </c>
      <c r="G69" s="12">
        <v>3</v>
      </c>
      <c r="H69" t="s">
        <v>85</v>
      </c>
      <c r="I69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2</v>
      </c>
      <c r="F70" s="12" t="s">
        <v>145</v>
      </c>
      <c r="G70" s="12">
        <v>2</v>
      </c>
      <c r="H70" t="s">
        <v>82</v>
      </c>
      <c r="I70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2</v>
      </c>
      <c r="F71" s="12" t="s">
        <v>145</v>
      </c>
      <c r="G71" s="12">
        <v>1</v>
      </c>
      <c r="H71" t="s">
        <v>91</v>
      </c>
      <c r="I71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2</v>
      </c>
      <c r="H73" t="s">
        <v>75</v>
      </c>
      <c r="I73" s="12">
        <f>IF(OR(Tabela_33472[[#This Row],[Placar Mandante]]="",Tabela_33472[[#This Row],[Placar Visitante]]="",Tabela_3[[#This Row],[Placar Mandante]]="",Tabela_3[[#This Row],[Placar Visitante]]=""),0,
IF(AND(Tabela_33472[[#This Row],[Placar Mandante]]=Tabela_3[[#This Row],[Placar Mandante]],Tabela_33472[[#This Row],[Placar Visitante]]=Tabela_3[[#This Row],[Placar Visitante]]),3,
IF(SIGN(Tabela_33472[[#This Row],[Placar Mandante]]-Tabela_33472[[#This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3C7D-E8D5-4A04-85A9-BCB295164999}">
  <sheetPr codeName="Planilha8"/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3</v>
      </c>
      <c r="F2" s="2" t="s">
        <v>145</v>
      </c>
      <c r="G2" s="12">
        <v>1</v>
      </c>
      <c r="H2" t="s">
        <v>7</v>
      </c>
      <c r="I2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  <c r="K2" s="3">
        <f>SUM(Tabela_3336[Pontuação])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2</v>
      </c>
      <c r="F3" s="2" t="s">
        <v>145</v>
      </c>
      <c r="G3" s="12">
        <v>1</v>
      </c>
      <c r="H3" t="s">
        <v>12</v>
      </c>
      <c r="I3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0</v>
      </c>
      <c r="F4" s="2" t="s">
        <v>145</v>
      </c>
      <c r="G4" s="12">
        <v>0</v>
      </c>
      <c r="H4" t="s">
        <v>16</v>
      </c>
      <c r="I4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1</v>
      </c>
      <c r="F5" s="2" t="s">
        <v>145</v>
      </c>
      <c r="G5" s="12">
        <v>2</v>
      </c>
      <c r="H5" t="s">
        <v>20</v>
      </c>
      <c r="I5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3</v>
      </c>
      <c r="H6" t="s">
        <v>24</v>
      </c>
      <c r="I6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2</v>
      </c>
      <c r="F7" s="2" t="s">
        <v>145</v>
      </c>
      <c r="G7" s="12">
        <v>0</v>
      </c>
      <c r="H7" t="s">
        <v>28</v>
      </c>
      <c r="I7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0</v>
      </c>
      <c r="F8" s="2" t="s">
        <v>145</v>
      </c>
      <c r="G8" s="12">
        <v>2</v>
      </c>
      <c r="H8" t="s">
        <v>32</v>
      </c>
      <c r="I8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1</v>
      </c>
      <c r="F9" s="2" t="s">
        <v>145</v>
      </c>
      <c r="G9" s="12">
        <v>3</v>
      </c>
      <c r="H9" t="s">
        <v>35</v>
      </c>
      <c r="I9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4</v>
      </c>
      <c r="F10" s="2" t="s">
        <v>145</v>
      </c>
      <c r="G10" s="12">
        <v>1</v>
      </c>
      <c r="H10" t="s">
        <v>40</v>
      </c>
      <c r="I10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2</v>
      </c>
      <c r="F11" s="2" t="s">
        <v>145</v>
      </c>
      <c r="G11" s="12">
        <v>4</v>
      </c>
      <c r="H11" t="s">
        <v>44</v>
      </c>
      <c r="I11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1</v>
      </c>
      <c r="F12" s="2" t="s">
        <v>145</v>
      </c>
      <c r="G12" s="12">
        <v>1</v>
      </c>
      <c r="H12" t="s">
        <v>48</v>
      </c>
      <c r="I12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0</v>
      </c>
      <c r="F13" s="2" t="s">
        <v>145</v>
      </c>
      <c r="G13" s="12">
        <v>0</v>
      </c>
      <c r="H13" t="s">
        <v>52</v>
      </c>
      <c r="I13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6</v>
      </c>
      <c r="F14" s="2" t="s">
        <v>145</v>
      </c>
      <c r="G14" s="12">
        <v>0</v>
      </c>
      <c r="H14" t="s">
        <v>55</v>
      </c>
      <c r="I14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3</v>
      </c>
      <c r="F15" s="2" t="s">
        <v>145</v>
      </c>
      <c r="G15" s="12">
        <v>0</v>
      </c>
      <c r="H15" t="s">
        <v>60</v>
      </c>
      <c r="I15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1</v>
      </c>
      <c r="F16" s="2" t="s">
        <v>145</v>
      </c>
      <c r="G16" s="12">
        <v>2</v>
      </c>
      <c r="H16" t="s">
        <v>63</v>
      </c>
      <c r="I16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1</v>
      </c>
      <c r="F17" s="2" t="s">
        <v>145</v>
      </c>
      <c r="G17" s="12">
        <v>0</v>
      </c>
      <c r="H17" t="s">
        <v>66</v>
      </c>
      <c r="I17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3</v>
      </c>
      <c r="F18" s="2" t="s">
        <v>145</v>
      </c>
      <c r="G18" s="12">
        <v>0</v>
      </c>
      <c r="H18" t="s">
        <v>69</v>
      </c>
      <c r="I18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0</v>
      </c>
      <c r="F19" s="2" t="s">
        <v>145</v>
      </c>
      <c r="G19" s="12">
        <v>2</v>
      </c>
      <c r="H19" t="s">
        <v>73</v>
      </c>
      <c r="I19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3</v>
      </c>
      <c r="F20" s="2" t="s">
        <v>145</v>
      </c>
      <c r="G20" s="12">
        <v>2</v>
      </c>
      <c r="H20" t="s">
        <v>76</v>
      </c>
      <c r="I20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0</v>
      </c>
      <c r="F21" s="2" t="s">
        <v>145</v>
      </c>
      <c r="G21" s="12">
        <v>0</v>
      </c>
      <c r="H21" t="s">
        <v>79</v>
      </c>
      <c r="I21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3</v>
      </c>
      <c r="F22" s="2" t="s">
        <v>145</v>
      </c>
      <c r="G22" s="12">
        <v>1</v>
      </c>
      <c r="H22" t="s">
        <v>83</v>
      </c>
      <c r="I22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2</v>
      </c>
      <c r="F23" s="2" t="s">
        <v>145</v>
      </c>
      <c r="G23" s="12">
        <v>2</v>
      </c>
      <c r="H23" t="s">
        <v>86</v>
      </c>
      <c r="I23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2</v>
      </c>
      <c r="F24" s="2" t="s">
        <v>145</v>
      </c>
      <c r="G24" s="12">
        <v>1</v>
      </c>
      <c r="H24" t="s">
        <v>89</v>
      </c>
      <c r="I24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2</v>
      </c>
      <c r="H25" t="s">
        <v>92</v>
      </c>
      <c r="I25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1</v>
      </c>
      <c r="F26" s="2" t="s">
        <v>145</v>
      </c>
      <c r="G26" s="12">
        <v>2</v>
      </c>
      <c r="H26" t="s">
        <v>7</v>
      </c>
      <c r="I26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2</v>
      </c>
      <c r="F27" s="2" t="s">
        <v>145</v>
      </c>
      <c r="G27" s="12">
        <v>0</v>
      </c>
      <c r="H27" t="s">
        <v>16</v>
      </c>
      <c r="I27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1</v>
      </c>
      <c r="F28" s="2" t="s">
        <v>145</v>
      </c>
      <c r="G28" s="12">
        <v>1</v>
      </c>
      <c r="H28" t="s">
        <v>23</v>
      </c>
      <c r="I28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2</v>
      </c>
      <c r="F29" s="2" t="s">
        <v>145</v>
      </c>
      <c r="G29" s="12">
        <v>2</v>
      </c>
      <c r="H29" t="s">
        <v>11</v>
      </c>
      <c r="I29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1</v>
      </c>
      <c r="F30" s="2" t="s">
        <v>145</v>
      </c>
      <c r="G30" s="12">
        <v>1</v>
      </c>
      <c r="H30" t="s">
        <v>34</v>
      </c>
      <c r="I30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1</v>
      </c>
      <c r="F31" s="2" t="s">
        <v>145</v>
      </c>
      <c r="G31" s="12">
        <v>3</v>
      </c>
      <c r="H31" t="s">
        <v>28</v>
      </c>
      <c r="I31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4</v>
      </c>
      <c r="F32" s="2" t="s">
        <v>145</v>
      </c>
      <c r="G32" s="12">
        <v>0</v>
      </c>
      <c r="H32" t="s">
        <v>31</v>
      </c>
      <c r="I32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2</v>
      </c>
      <c r="F33" s="2" t="s">
        <v>145</v>
      </c>
      <c r="G33" s="12">
        <v>0</v>
      </c>
      <c r="H33" t="s">
        <v>20</v>
      </c>
      <c r="I33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0</v>
      </c>
      <c r="F34" s="2" t="s">
        <v>145</v>
      </c>
      <c r="G34" s="12">
        <v>1</v>
      </c>
      <c r="H34" t="s">
        <v>51</v>
      </c>
      <c r="I34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2</v>
      </c>
      <c r="F35" s="2" t="s">
        <v>145</v>
      </c>
      <c r="G35" s="12">
        <v>1</v>
      </c>
      <c r="H35" t="s">
        <v>47</v>
      </c>
      <c r="I35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1</v>
      </c>
      <c r="F36" s="2" t="s">
        <v>145</v>
      </c>
      <c r="G36" s="12">
        <v>0</v>
      </c>
      <c r="H36" t="s">
        <v>40</v>
      </c>
      <c r="I36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0</v>
      </c>
      <c r="F37" s="2" t="s">
        <v>145</v>
      </c>
      <c r="G37" s="12">
        <v>3</v>
      </c>
      <c r="H37" t="s">
        <v>44</v>
      </c>
      <c r="I37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4</v>
      </c>
      <c r="F38" s="2" t="s">
        <v>145</v>
      </c>
      <c r="G38" s="12">
        <v>1</v>
      </c>
      <c r="H38" t="s">
        <v>62</v>
      </c>
      <c r="I38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1</v>
      </c>
      <c r="F39" s="2" t="s">
        <v>145</v>
      </c>
      <c r="G39" s="12">
        <v>0</v>
      </c>
      <c r="H39" t="s">
        <v>65</v>
      </c>
      <c r="I39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2</v>
      </c>
      <c r="F40" s="2" t="s">
        <v>145</v>
      </c>
      <c r="G40" s="12">
        <v>1</v>
      </c>
      <c r="H40" t="s">
        <v>55</v>
      </c>
      <c r="I40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0</v>
      </c>
      <c r="F41" s="2" t="s">
        <v>145</v>
      </c>
      <c r="G41" s="12">
        <v>0</v>
      </c>
      <c r="H41" t="s">
        <v>60</v>
      </c>
      <c r="I41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0</v>
      </c>
      <c r="F42" s="2" t="s">
        <v>145</v>
      </c>
      <c r="G42" s="12">
        <v>0</v>
      </c>
      <c r="H42" t="s">
        <v>78</v>
      </c>
      <c r="I42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4</v>
      </c>
      <c r="F43" s="2" t="s">
        <v>145</v>
      </c>
      <c r="G43" s="12">
        <v>1</v>
      </c>
      <c r="H43" t="s">
        <v>72</v>
      </c>
      <c r="I43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3</v>
      </c>
      <c r="F44" s="2" t="s">
        <v>145</v>
      </c>
      <c r="G44" s="12">
        <v>1</v>
      </c>
      <c r="H44" t="s">
        <v>69</v>
      </c>
      <c r="I44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0</v>
      </c>
      <c r="F45" s="2" t="s">
        <v>145</v>
      </c>
      <c r="G45" s="12">
        <v>0</v>
      </c>
      <c r="H45" t="s">
        <v>76</v>
      </c>
      <c r="I45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3</v>
      </c>
      <c r="F46" s="2" t="s">
        <v>145</v>
      </c>
      <c r="G46" s="12">
        <v>0</v>
      </c>
      <c r="H46" t="s">
        <v>91</v>
      </c>
      <c r="I46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2</v>
      </c>
      <c r="F47" s="2" t="s">
        <v>145</v>
      </c>
      <c r="G47" s="12">
        <v>0</v>
      </c>
      <c r="H47" t="s">
        <v>88</v>
      </c>
      <c r="I47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0</v>
      </c>
      <c r="F48" s="2" t="s">
        <v>145</v>
      </c>
      <c r="G48" s="12">
        <v>4</v>
      </c>
      <c r="H48" t="s">
        <v>86</v>
      </c>
      <c r="I48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3</v>
      </c>
      <c r="F49" s="2" t="s">
        <v>145</v>
      </c>
      <c r="G49" s="12">
        <v>0</v>
      </c>
      <c r="H49" t="s">
        <v>83</v>
      </c>
      <c r="I49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0</v>
      </c>
      <c r="F50" s="2" t="s">
        <v>145</v>
      </c>
      <c r="G50" s="12">
        <v>0</v>
      </c>
      <c r="H50" t="s">
        <v>23</v>
      </c>
      <c r="I50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1</v>
      </c>
      <c r="F51" s="2" t="s">
        <v>145</v>
      </c>
      <c r="G51" s="12">
        <v>0</v>
      </c>
      <c r="H51" t="s">
        <v>15</v>
      </c>
      <c r="I51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1</v>
      </c>
      <c r="F52" s="2" t="s">
        <v>145</v>
      </c>
      <c r="G52" s="12">
        <v>3</v>
      </c>
      <c r="H52" t="s">
        <v>27</v>
      </c>
      <c r="I52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3</v>
      </c>
      <c r="F53" s="2" t="s">
        <v>145</v>
      </c>
      <c r="G53" s="12">
        <v>0</v>
      </c>
      <c r="H53" t="s">
        <v>31</v>
      </c>
      <c r="I53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1</v>
      </c>
      <c r="F54" s="2" t="s">
        <v>145</v>
      </c>
      <c r="G54" s="12">
        <v>1</v>
      </c>
      <c r="H54" t="s">
        <v>11</v>
      </c>
      <c r="I54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1</v>
      </c>
      <c r="F55" s="2" t="s">
        <v>145</v>
      </c>
      <c r="G55" s="12">
        <v>2</v>
      </c>
      <c r="H55" t="s">
        <v>6</v>
      </c>
      <c r="I55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0</v>
      </c>
      <c r="F56" s="2" t="s">
        <v>145</v>
      </c>
      <c r="G56" s="12">
        <v>0</v>
      </c>
      <c r="H56" t="s">
        <v>47</v>
      </c>
      <c r="I56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1</v>
      </c>
      <c r="F57" s="2" t="s">
        <v>145</v>
      </c>
      <c r="G57" s="12">
        <v>3</v>
      </c>
      <c r="H57" t="s">
        <v>39</v>
      </c>
      <c r="I57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2</v>
      </c>
      <c r="F58" s="2" t="s">
        <v>145</v>
      </c>
      <c r="G58" s="12">
        <v>1</v>
      </c>
      <c r="H58" t="s">
        <v>51</v>
      </c>
      <c r="I58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1</v>
      </c>
      <c r="F59" s="2" t="s">
        <v>145</v>
      </c>
      <c r="G59" s="12">
        <v>0</v>
      </c>
      <c r="H59" t="s">
        <v>43</v>
      </c>
      <c r="I59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2</v>
      </c>
      <c r="F60" s="2" t="s">
        <v>145</v>
      </c>
      <c r="G60" s="12">
        <v>0</v>
      </c>
      <c r="H60" t="s">
        <v>34</v>
      </c>
      <c r="I60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1</v>
      </c>
      <c r="F61" s="2" t="s">
        <v>145</v>
      </c>
      <c r="G61" s="12">
        <v>1</v>
      </c>
      <c r="H61" t="s">
        <v>19</v>
      </c>
      <c r="I61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2</v>
      </c>
      <c r="F62" s="2" t="s">
        <v>145</v>
      </c>
      <c r="G62" s="12">
        <v>3</v>
      </c>
      <c r="H62" t="s">
        <v>68</v>
      </c>
      <c r="I62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1</v>
      </c>
      <c r="F63" s="2" t="s">
        <v>145</v>
      </c>
      <c r="G63" s="12">
        <v>0</v>
      </c>
      <c r="H63" t="s">
        <v>72</v>
      </c>
      <c r="I63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0</v>
      </c>
      <c r="F64" s="2" t="s">
        <v>145</v>
      </c>
      <c r="G64" s="12">
        <v>1</v>
      </c>
      <c r="H64" t="s">
        <v>62</v>
      </c>
      <c r="I64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2</v>
      </c>
      <c r="F65" s="2" t="s">
        <v>145</v>
      </c>
      <c r="G65" s="12">
        <v>2</v>
      </c>
      <c r="H65" t="s">
        <v>54</v>
      </c>
      <c r="I65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1</v>
      </c>
      <c r="F66" s="2" t="s">
        <v>145</v>
      </c>
      <c r="G66" s="12">
        <v>0</v>
      </c>
      <c r="H66" t="s">
        <v>65</v>
      </c>
      <c r="I66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0</v>
      </c>
      <c r="F67" s="2" t="s">
        <v>145</v>
      </c>
      <c r="G67" s="12">
        <v>1</v>
      </c>
      <c r="H67" t="s">
        <v>59</v>
      </c>
      <c r="I67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1</v>
      </c>
      <c r="F68" s="2" t="s">
        <v>145</v>
      </c>
      <c r="G68" s="12">
        <v>0</v>
      </c>
      <c r="H68" t="s">
        <v>88</v>
      </c>
      <c r="I68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0</v>
      </c>
      <c r="F69" s="2" t="s">
        <v>145</v>
      </c>
      <c r="G69" s="12">
        <v>2</v>
      </c>
      <c r="H69" t="s">
        <v>85</v>
      </c>
      <c r="I69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1</v>
      </c>
      <c r="F70" s="2" t="s">
        <v>145</v>
      </c>
      <c r="G70" s="12">
        <v>3</v>
      </c>
      <c r="H70" t="s">
        <v>82</v>
      </c>
      <c r="I70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0</v>
      </c>
      <c r="F71" s="2" t="s">
        <v>145</v>
      </c>
      <c r="G71" s="12">
        <v>0</v>
      </c>
      <c r="H71" t="s">
        <v>91</v>
      </c>
      <c r="I71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0</v>
      </c>
      <c r="F72" s="2" t="s">
        <v>145</v>
      </c>
      <c r="G72" s="12">
        <v>1</v>
      </c>
      <c r="H72" t="s">
        <v>78</v>
      </c>
      <c r="I72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0</v>
      </c>
      <c r="F73" s="2" t="s">
        <v>145</v>
      </c>
      <c r="G73" s="12">
        <v>3</v>
      </c>
      <c r="H73" t="s">
        <v>75</v>
      </c>
      <c r="I73" s="2">
        <f>IF(OR(Tabela_3336[[#This Row],[Placar Mandante]]="",Tabela_3336[[#This Row],[Placar Visitante]]="",Tabela_3[[#This Row],[Placar Mandante]]="",Tabela_3[[#This Row],[Placar Visitante]]=""),0,
IF(AND(Tabela_3336[[#This Row],[Placar Mandante]]=Tabela_3[[#This Row],[Placar Mandante]],Tabela_3336[[#This Row],[Placar Visitante]]=Tabela_3[[#This Row],[Placar Visitante]]),3,
IF(SIGN(Tabela_3336[[#This Row],[Placar Mandante]]-Tabela_3336[[#This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62D2-79F6-47BF-8EEB-F26CC9BB76F7}">
  <dimension ref="A1:K73"/>
  <sheetViews>
    <sheetView topLeftCell="B1" zoomScaleNormal="100" workbookViewId="0">
      <selection activeCell="H75" sqref="H75"/>
    </sheetView>
  </sheetViews>
  <sheetFormatPr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2.2187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1</v>
      </c>
      <c r="H2" t="s">
        <v>7</v>
      </c>
      <c r="I2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  <c r="J2" s="13"/>
      <c r="K2" s="3">
        <f>SUM(Tabela_33431[Pontuação])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0</v>
      </c>
      <c r="H3" t="s">
        <v>12</v>
      </c>
      <c r="I3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0</v>
      </c>
      <c r="H4" t="s">
        <v>16</v>
      </c>
      <c r="I4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1</v>
      </c>
      <c r="H5" t="s">
        <v>20</v>
      </c>
      <c r="I5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1</v>
      </c>
      <c r="F6" s="12" t="s">
        <v>145</v>
      </c>
      <c r="G6" s="12">
        <v>2</v>
      </c>
      <c r="H6" t="s">
        <v>24</v>
      </c>
      <c r="I6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1</v>
      </c>
      <c r="H7" t="s">
        <v>28</v>
      </c>
      <c r="I7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1</v>
      </c>
      <c r="H8" t="s">
        <v>32</v>
      </c>
      <c r="I8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1</v>
      </c>
      <c r="H9" t="s">
        <v>35</v>
      </c>
      <c r="I9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3</v>
      </c>
      <c r="F10" s="12" t="s">
        <v>145</v>
      </c>
      <c r="G10" s="12">
        <v>1</v>
      </c>
      <c r="H10" t="s">
        <v>40</v>
      </c>
      <c r="I10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1</v>
      </c>
      <c r="H11" t="s">
        <v>44</v>
      </c>
      <c r="I11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2</v>
      </c>
      <c r="H12" t="s">
        <v>48</v>
      </c>
      <c r="I12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2</v>
      </c>
      <c r="F13" s="12" t="s">
        <v>145</v>
      </c>
      <c r="G13" s="12">
        <v>0</v>
      </c>
      <c r="H13" t="s">
        <v>52</v>
      </c>
      <c r="I13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4</v>
      </c>
      <c r="F14" s="12" t="s">
        <v>145</v>
      </c>
      <c r="G14" s="12">
        <v>1</v>
      </c>
      <c r="H14" t="s">
        <v>55</v>
      </c>
      <c r="I14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1</v>
      </c>
      <c r="H15" t="s">
        <v>60</v>
      </c>
      <c r="I15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1</v>
      </c>
      <c r="F16" s="12" t="s">
        <v>145</v>
      </c>
      <c r="G16" s="12">
        <v>2</v>
      </c>
      <c r="H16" t="s">
        <v>63</v>
      </c>
      <c r="I16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1</v>
      </c>
      <c r="H17" t="s">
        <v>66</v>
      </c>
      <c r="I17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3</v>
      </c>
      <c r="F18" s="12" t="s">
        <v>145</v>
      </c>
      <c r="G18" s="12">
        <v>0</v>
      </c>
      <c r="H18" t="s">
        <v>69</v>
      </c>
      <c r="I18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1</v>
      </c>
      <c r="F19" s="12" t="s">
        <v>145</v>
      </c>
      <c r="G19" s="12">
        <v>3</v>
      </c>
      <c r="H19" t="s">
        <v>73</v>
      </c>
      <c r="I19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1</v>
      </c>
      <c r="H20" t="s">
        <v>76</v>
      </c>
      <c r="I20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1</v>
      </c>
      <c r="F21" s="12" t="s">
        <v>145</v>
      </c>
      <c r="G21" s="12">
        <v>1</v>
      </c>
      <c r="H21" t="s">
        <v>79</v>
      </c>
      <c r="I21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0</v>
      </c>
      <c r="H22" t="s">
        <v>83</v>
      </c>
      <c r="I22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1</v>
      </c>
      <c r="F23" s="12" t="s">
        <v>145</v>
      </c>
      <c r="G23" s="12">
        <v>1</v>
      </c>
      <c r="H23" t="s">
        <v>86</v>
      </c>
      <c r="I23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1</v>
      </c>
      <c r="F24" s="12" t="s">
        <v>145</v>
      </c>
      <c r="G24" s="12">
        <v>2</v>
      </c>
      <c r="H24" t="s">
        <v>89</v>
      </c>
      <c r="I24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1</v>
      </c>
      <c r="F26" s="12" t="s">
        <v>145</v>
      </c>
      <c r="G26" s="12">
        <v>2</v>
      </c>
      <c r="H26" t="s">
        <v>7</v>
      </c>
      <c r="I26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1</v>
      </c>
      <c r="H27" t="s">
        <v>16</v>
      </c>
      <c r="I27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0</v>
      </c>
      <c r="H28" t="s">
        <v>23</v>
      </c>
      <c r="I28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1</v>
      </c>
      <c r="F29" s="12" t="s">
        <v>145</v>
      </c>
      <c r="G29" s="12">
        <v>1</v>
      </c>
      <c r="H29" t="s">
        <v>11</v>
      </c>
      <c r="I29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1</v>
      </c>
      <c r="H30" t="s">
        <v>34</v>
      </c>
      <c r="I30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3</v>
      </c>
      <c r="H31" t="s">
        <v>28</v>
      </c>
      <c r="I31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3</v>
      </c>
      <c r="F32" s="12" t="s">
        <v>145</v>
      </c>
      <c r="G32" s="12">
        <v>1</v>
      </c>
      <c r="H32" t="s">
        <v>31</v>
      </c>
      <c r="I32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2</v>
      </c>
      <c r="H33" t="s">
        <v>20</v>
      </c>
      <c r="I33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0</v>
      </c>
      <c r="H34" t="s">
        <v>51</v>
      </c>
      <c r="I34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0</v>
      </c>
      <c r="H35" t="s">
        <v>47</v>
      </c>
      <c r="I35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1</v>
      </c>
      <c r="H36" t="s">
        <v>40</v>
      </c>
      <c r="I36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3</v>
      </c>
      <c r="H37" t="s">
        <v>44</v>
      </c>
      <c r="I37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0</v>
      </c>
      <c r="H38" t="s">
        <v>62</v>
      </c>
      <c r="I38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0</v>
      </c>
      <c r="H39" t="s">
        <v>65</v>
      </c>
      <c r="I39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2</v>
      </c>
      <c r="F40" s="12" t="s">
        <v>145</v>
      </c>
      <c r="G40" s="12">
        <v>1</v>
      </c>
      <c r="H40" t="s">
        <v>55</v>
      </c>
      <c r="I40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1</v>
      </c>
      <c r="F41" s="12" t="s">
        <v>145</v>
      </c>
      <c r="G41" s="12">
        <v>1</v>
      </c>
      <c r="H41" t="s">
        <v>60</v>
      </c>
      <c r="I41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3</v>
      </c>
      <c r="F42" s="12" t="s">
        <v>145</v>
      </c>
      <c r="G42" s="12">
        <v>1</v>
      </c>
      <c r="H42" t="s">
        <v>78</v>
      </c>
      <c r="I42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2</v>
      </c>
      <c r="F43" s="12" t="s">
        <v>145</v>
      </c>
      <c r="G43" s="12">
        <v>0</v>
      </c>
      <c r="H43" t="s">
        <v>72</v>
      </c>
      <c r="I43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2</v>
      </c>
      <c r="F44" s="12" t="s">
        <v>145</v>
      </c>
      <c r="G44" s="12">
        <v>0</v>
      </c>
      <c r="H44" t="s">
        <v>69</v>
      </c>
      <c r="I44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1</v>
      </c>
      <c r="H45" t="s">
        <v>76</v>
      </c>
      <c r="I45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1</v>
      </c>
      <c r="H46" t="s">
        <v>91</v>
      </c>
      <c r="I46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3</v>
      </c>
      <c r="F47" s="12" t="s">
        <v>145</v>
      </c>
      <c r="G47" s="12">
        <v>0</v>
      </c>
      <c r="H47" t="s">
        <v>88</v>
      </c>
      <c r="I47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1</v>
      </c>
      <c r="F48" s="12" t="s">
        <v>145</v>
      </c>
      <c r="G48" s="12">
        <v>2</v>
      </c>
      <c r="H48" t="s">
        <v>86</v>
      </c>
      <c r="I48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1</v>
      </c>
      <c r="H49" t="s">
        <v>83</v>
      </c>
      <c r="I49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2</v>
      </c>
      <c r="F50" s="12" t="s">
        <v>145</v>
      </c>
      <c r="G50" s="12">
        <v>2</v>
      </c>
      <c r="H50" t="s">
        <v>23</v>
      </c>
      <c r="I50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1</v>
      </c>
      <c r="H51" t="s">
        <v>15</v>
      </c>
      <c r="I51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1</v>
      </c>
      <c r="F52" s="12" t="s">
        <v>145</v>
      </c>
      <c r="G52" s="12">
        <v>2</v>
      </c>
      <c r="H52" t="s">
        <v>27</v>
      </c>
      <c r="I52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2</v>
      </c>
      <c r="F53" s="12" t="s">
        <v>145</v>
      </c>
      <c r="G53" s="12">
        <v>0</v>
      </c>
      <c r="H53" t="s">
        <v>31</v>
      </c>
      <c r="I53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2</v>
      </c>
      <c r="F54" s="12" t="s">
        <v>145</v>
      </c>
      <c r="G54" s="12">
        <v>3</v>
      </c>
      <c r="H54" t="s">
        <v>11</v>
      </c>
      <c r="I54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2</v>
      </c>
      <c r="H55" t="s">
        <v>6</v>
      </c>
      <c r="I55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1</v>
      </c>
      <c r="H56" t="s">
        <v>47</v>
      </c>
      <c r="I56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2</v>
      </c>
      <c r="H57" t="s">
        <v>39</v>
      </c>
      <c r="I57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1</v>
      </c>
      <c r="H58" t="s">
        <v>51</v>
      </c>
      <c r="I58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3</v>
      </c>
      <c r="H59" t="s">
        <v>43</v>
      </c>
      <c r="I59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2</v>
      </c>
      <c r="F60" s="12" t="s">
        <v>145</v>
      </c>
      <c r="G60" s="12">
        <v>0</v>
      </c>
      <c r="H60" t="s">
        <v>34</v>
      </c>
      <c r="I60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1</v>
      </c>
      <c r="H61" t="s">
        <v>19</v>
      </c>
      <c r="I61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1</v>
      </c>
      <c r="H62" t="s">
        <v>68</v>
      </c>
      <c r="I62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2</v>
      </c>
      <c r="H63" t="s">
        <v>72</v>
      </c>
      <c r="I63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2</v>
      </c>
      <c r="H64" t="s">
        <v>62</v>
      </c>
      <c r="I64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2</v>
      </c>
      <c r="F65" s="12" t="s">
        <v>145</v>
      </c>
      <c r="G65" s="12">
        <v>3</v>
      </c>
      <c r="H65" t="s">
        <v>54</v>
      </c>
      <c r="I65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2</v>
      </c>
      <c r="H66" t="s">
        <v>65</v>
      </c>
      <c r="I66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1</v>
      </c>
      <c r="F67" s="12" t="s">
        <v>145</v>
      </c>
      <c r="G67" s="12">
        <v>2</v>
      </c>
      <c r="H67" t="s">
        <v>59</v>
      </c>
      <c r="I67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3</v>
      </c>
      <c r="F68" s="12" t="s">
        <v>145</v>
      </c>
      <c r="G68" s="12">
        <v>1</v>
      </c>
      <c r="H68" t="s">
        <v>88</v>
      </c>
      <c r="I68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1</v>
      </c>
      <c r="F69" s="12" t="s">
        <v>145</v>
      </c>
      <c r="G69" s="12">
        <v>2</v>
      </c>
      <c r="H69" t="s">
        <v>85</v>
      </c>
      <c r="I69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2</v>
      </c>
      <c r="H70" t="s">
        <v>82</v>
      </c>
      <c r="I70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2</v>
      </c>
      <c r="F71" s="12" t="s">
        <v>145</v>
      </c>
      <c r="G71" s="12">
        <v>2</v>
      </c>
      <c r="H71" t="s">
        <v>91</v>
      </c>
      <c r="I71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1</v>
      </c>
      <c r="F73" s="12" t="s">
        <v>145</v>
      </c>
      <c r="G73" s="12">
        <v>4</v>
      </c>
      <c r="H73" t="s">
        <v>75</v>
      </c>
      <c r="I73" s="12">
        <f>IF(OR(Tabela_33431[[#This Row],[Placar Mandante]]="",Tabela_33431[[#This Row],[Placar Visitante]]="",Tabela_3[[#This Row],[Placar Mandante]]="",Tabela_3[[#This Row],[Placar Visitante]]=""),0,
IF(AND(Tabela_33431[[#This Row],[Placar Mandante]]=Tabela_3[[#This Row],[Placar Mandante]],Tabela_33431[[#This Row],[Placar Visitante]]=Tabela_3[[#This Row],[Placar Visitante]]),3,
IF(SIGN(Tabela_33431[[#This Row],[Placar Mandante]]-Tabela_33431[[#This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12BF-A9EC-4577-91CE-168C18A793D9}">
  <dimension ref="A1:Z1000"/>
  <sheetViews>
    <sheetView topLeftCell="B1" workbookViewId="0">
      <selection activeCell="H75" sqref="H75"/>
    </sheetView>
  </sheetViews>
  <sheetFormatPr defaultColWidth="12.6640625" defaultRowHeight="15" customHeight="1" x14ac:dyDescent="0.3"/>
  <cols>
    <col min="1" max="1" width="11.77734375" style="19" hidden="1" customWidth="1"/>
    <col min="2" max="2" width="10.33203125" style="19" customWidth="1"/>
    <col min="3" max="3" width="9.44140625" style="19" customWidth="1"/>
    <col min="4" max="5" width="18.21875" style="19" customWidth="1"/>
    <col min="6" max="6" width="4.109375" style="19" customWidth="1"/>
    <col min="7" max="8" width="18.21875" style="19" customWidth="1"/>
    <col min="9" max="9" width="8.88671875" style="19" customWidth="1"/>
    <col min="10" max="10" width="12.6640625" style="19" customWidth="1"/>
    <col min="11" max="11" width="10.21875" style="19" customWidth="1"/>
    <col min="12" max="26" width="8.6640625" style="19" customWidth="1"/>
    <col min="27" max="16384" width="12.6640625" style="19"/>
  </cols>
  <sheetData>
    <row r="1" spans="1:26" ht="14.25" customHeight="1" x14ac:dyDescent="0.3">
      <c r="A1" s="22" t="s">
        <v>0</v>
      </c>
      <c r="B1" s="22" t="s">
        <v>3</v>
      </c>
      <c r="C1" s="22" t="s">
        <v>4</v>
      </c>
      <c r="D1" s="22" t="s">
        <v>1</v>
      </c>
      <c r="E1" s="22" t="s">
        <v>144</v>
      </c>
      <c r="F1" s="23" t="s">
        <v>145</v>
      </c>
      <c r="G1" s="22" t="s">
        <v>146</v>
      </c>
      <c r="H1" s="22" t="s">
        <v>2</v>
      </c>
      <c r="I1" s="14" t="s">
        <v>147</v>
      </c>
      <c r="J1" s="20"/>
      <c r="K1" s="1" t="s">
        <v>147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25" customHeight="1" x14ac:dyDescent="0.3">
      <c r="A2" s="20" t="s">
        <v>5</v>
      </c>
      <c r="B2" s="20" t="s">
        <v>8</v>
      </c>
      <c r="C2" s="20" t="s">
        <v>9</v>
      </c>
      <c r="D2" s="20" t="s">
        <v>6</v>
      </c>
      <c r="E2" s="48">
        <v>2</v>
      </c>
      <c r="F2" s="21" t="s">
        <v>145</v>
      </c>
      <c r="G2" s="48">
        <v>0</v>
      </c>
      <c r="H2" s="20" t="s">
        <v>7</v>
      </c>
      <c r="I2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2" s="24"/>
      <c r="K2" s="3">
        <f>SUM(Table_1[Pontuação])</f>
        <v>0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25" customHeight="1" x14ac:dyDescent="0.3">
      <c r="A3" s="20" t="s">
        <v>10</v>
      </c>
      <c r="B3" s="20" t="s">
        <v>8</v>
      </c>
      <c r="C3" s="20" t="s">
        <v>13</v>
      </c>
      <c r="D3" s="20" t="s">
        <v>11</v>
      </c>
      <c r="E3" s="48">
        <v>1</v>
      </c>
      <c r="F3" s="21" t="s">
        <v>145</v>
      </c>
      <c r="G3" s="48">
        <v>1</v>
      </c>
      <c r="H3" s="20" t="s">
        <v>12</v>
      </c>
      <c r="I3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4.25" customHeight="1" x14ac:dyDescent="0.3">
      <c r="A4" s="20" t="s">
        <v>14</v>
      </c>
      <c r="B4" s="20" t="s">
        <v>17</v>
      </c>
      <c r="C4" s="20" t="s">
        <v>9</v>
      </c>
      <c r="D4" s="20" t="s">
        <v>15</v>
      </c>
      <c r="E4" s="48">
        <v>2</v>
      </c>
      <c r="F4" s="21" t="s">
        <v>145</v>
      </c>
      <c r="G4" s="48">
        <v>1</v>
      </c>
      <c r="H4" s="20" t="s">
        <v>16</v>
      </c>
      <c r="I4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4.25" customHeight="1" x14ac:dyDescent="0.3">
      <c r="A5" s="20" t="s">
        <v>18</v>
      </c>
      <c r="B5" s="20" t="s">
        <v>17</v>
      </c>
      <c r="C5" s="20" t="s">
        <v>21</v>
      </c>
      <c r="D5" s="20" t="s">
        <v>19</v>
      </c>
      <c r="E5" s="48">
        <v>1</v>
      </c>
      <c r="F5" s="21" t="s">
        <v>145</v>
      </c>
      <c r="G5" s="48">
        <v>0</v>
      </c>
      <c r="H5" s="20" t="s">
        <v>20</v>
      </c>
      <c r="I5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5" s="24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4.25" customHeight="1" x14ac:dyDescent="0.3">
      <c r="A6" s="20" t="s">
        <v>22</v>
      </c>
      <c r="B6" s="20" t="s">
        <v>25</v>
      </c>
      <c r="C6" s="20" t="s">
        <v>9</v>
      </c>
      <c r="D6" s="20" t="s">
        <v>23</v>
      </c>
      <c r="E6" s="48">
        <v>1</v>
      </c>
      <c r="F6" s="21" t="s">
        <v>145</v>
      </c>
      <c r="G6" s="48">
        <v>2</v>
      </c>
      <c r="H6" s="20" t="s">
        <v>24</v>
      </c>
      <c r="I6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6" s="25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4.25" customHeight="1" x14ac:dyDescent="0.3">
      <c r="A7" s="20" t="s">
        <v>26</v>
      </c>
      <c r="B7" s="20" t="s">
        <v>25</v>
      </c>
      <c r="C7" s="20" t="s">
        <v>29</v>
      </c>
      <c r="D7" s="20" t="s">
        <v>27</v>
      </c>
      <c r="E7" s="48">
        <v>2</v>
      </c>
      <c r="F7" s="21" t="s">
        <v>145</v>
      </c>
      <c r="G7" s="48">
        <v>1</v>
      </c>
      <c r="H7" s="20" t="s">
        <v>28</v>
      </c>
      <c r="I7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4.25" customHeight="1" x14ac:dyDescent="0.3">
      <c r="A8" s="20" t="s">
        <v>30</v>
      </c>
      <c r="B8" s="20" t="s">
        <v>25</v>
      </c>
      <c r="C8" s="20" t="s">
        <v>21</v>
      </c>
      <c r="D8" s="20" t="s">
        <v>31</v>
      </c>
      <c r="E8" s="48">
        <v>0</v>
      </c>
      <c r="F8" s="21" t="s">
        <v>145</v>
      </c>
      <c r="G8" s="48">
        <v>2</v>
      </c>
      <c r="H8" s="20" t="s">
        <v>32</v>
      </c>
      <c r="I8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8" s="26"/>
      <c r="K8" s="27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4.25" customHeight="1" x14ac:dyDescent="0.3">
      <c r="A9" s="20" t="s">
        <v>33</v>
      </c>
      <c r="B9" s="20" t="s">
        <v>36</v>
      </c>
      <c r="C9" s="20" t="s">
        <v>37</v>
      </c>
      <c r="D9" s="20" t="s">
        <v>34</v>
      </c>
      <c r="E9" s="48">
        <v>1</v>
      </c>
      <c r="F9" s="21" t="s">
        <v>145</v>
      </c>
      <c r="G9" s="48">
        <v>1</v>
      </c>
      <c r="H9" s="20" t="s">
        <v>35</v>
      </c>
      <c r="I9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4.25" customHeight="1" x14ac:dyDescent="0.3">
      <c r="A10" s="20" t="s">
        <v>38</v>
      </c>
      <c r="B10" s="20" t="s">
        <v>36</v>
      </c>
      <c r="C10" s="20" t="s">
        <v>41</v>
      </c>
      <c r="D10" s="20" t="s">
        <v>39</v>
      </c>
      <c r="E10" s="48">
        <v>4</v>
      </c>
      <c r="F10" s="21" t="s">
        <v>145</v>
      </c>
      <c r="G10" s="48">
        <v>0</v>
      </c>
      <c r="H10" s="20" t="s">
        <v>40</v>
      </c>
      <c r="I10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4.25" customHeight="1" x14ac:dyDescent="0.3">
      <c r="A11" s="20" t="s">
        <v>42</v>
      </c>
      <c r="B11" s="20" t="s">
        <v>36</v>
      </c>
      <c r="C11" s="20" t="s">
        <v>45</v>
      </c>
      <c r="D11" s="20" t="s">
        <v>43</v>
      </c>
      <c r="E11" s="48">
        <v>2</v>
      </c>
      <c r="F11" s="21" t="s">
        <v>145</v>
      </c>
      <c r="G11" s="48">
        <v>1</v>
      </c>
      <c r="H11" s="28" t="s">
        <v>44</v>
      </c>
      <c r="I11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4.25" customHeight="1" x14ac:dyDescent="0.3">
      <c r="A12" s="20" t="s">
        <v>46</v>
      </c>
      <c r="B12" s="20" t="s">
        <v>36</v>
      </c>
      <c r="C12" s="20" t="s">
        <v>49</v>
      </c>
      <c r="D12" s="20" t="s">
        <v>47</v>
      </c>
      <c r="E12" s="48">
        <v>1</v>
      </c>
      <c r="F12" s="21" t="s">
        <v>145</v>
      </c>
      <c r="G12" s="48">
        <v>1</v>
      </c>
      <c r="H12" s="20" t="s">
        <v>48</v>
      </c>
      <c r="I12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4.25" customHeight="1" x14ac:dyDescent="0.3">
      <c r="A13" s="20" t="s">
        <v>50</v>
      </c>
      <c r="B13" s="20" t="s">
        <v>36</v>
      </c>
      <c r="C13" s="20" t="s">
        <v>13</v>
      </c>
      <c r="D13" s="20" t="s">
        <v>51</v>
      </c>
      <c r="E13" s="48">
        <v>1</v>
      </c>
      <c r="F13" s="21" t="s">
        <v>145</v>
      </c>
      <c r="G13" s="48">
        <v>0</v>
      </c>
      <c r="H13" s="20" t="s">
        <v>52</v>
      </c>
      <c r="I13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4.25" customHeight="1" x14ac:dyDescent="0.3">
      <c r="A14" s="20" t="s">
        <v>53</v>
      </c>
      <c r="B14" s="20" t="s">
        <v>56</v>
      </c>
      <c r="C14" s="20" t="s">
        <v>57</v>
      </c>
      <c r="D14" s="20" t="s">
        <v>54</v>
      </c>
      <c r="E14" s="48">
        <v>3</v>
      </c>
      <c r="F14" s="21" t="s">
        <v>145</v>
      </c>
      <c r="G14" s="48">
        <v>0</v>
      </c>
      <c r="H14" s="20" t="s">
        <v>55</v>
      </c>
      <c r="I14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4.25" customHeight="1" x14ac:dyDescent="0.3">
      <c r="A15" s="20" t="s">
        <v>58</v>
      </c>
      <c r="B15" s="20" t="s">
        <v>56</v>
      </c>
      <c r="C15" s="20" t="s">
        <v>9</v>
      </c>
      <c r="D15" s="20" t="s">
        <v>59</v>
      </c>
      <c r="E15" s="48">
        <v>2</v>
      </c>
      <c r="F15" s="21" t="s">
        <v>145</v>
      </c>
      <c r="G15" s="48">
        <v>0</v>
      </c>
      <c r="H15" s="20" t="s">
        <v>60</v>
      </c>
      <c r="I15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4.25" customHeight="1" x14ac:dyDescent="0.3">
      <c r="A16" s="20" t="s">
        <v>61</v>
      </c>
      <c r="B16" s="20" t="s">
        <v>56</v>
      </c>
      <c r="C16" s="20" t="s">
        <v>29</v>
      </c>
      <c r="D16" s="20" t="s">
        <v>62</v>
      </c>
      <c r="E16" s="48">
        <v>1</v>
      </c>
      <c r="F16" s="21" t="s">
        <v>145</v>
      </c>
      <c r="G16" s="48">
        <v>2</v>
      </c>
      <c r="H16" s="20" t="s">
        <v>63</v>
      </c>
      <c r="I16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4.25" customHeight="1" x14ac:dyDescent="0.3">
      <c r="A17" s="20" t="s">
        <v>64</v>
      </c>
      <c r="B17" s="20" t="s">
        <v>56</v>
      </c>
      <c r="C17" s="20" t="s">
        <v>21</v>
      </c>
      <c r="D17" s="20" t="s">
        <v>65</v>
      </c>
      <c r="E17" s="48">
        <v>1</v>
      </c>
      <c r="F17" s="21" t="s">
        <v>145</v>
      </c>
      <c r="G17" s="48">
        <v>0</v>
      </c>
      <c r="H17" s="20" t="s">
        <v>66</v>
      </c>
      <c r="I17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4.25" customHeight="1" x14ac:dyDescent="0.3">
      <c r="A18" s="20" t="s">
        <v>67</v>
      </c>
      <c r="B18" s="20" t="s">
        <v>70</v>
      </c>
      <c r="C18" s="20" t="s">
        <v>9</v>
      </c>
      <c r="D18" s="20" t="s">
        <v>68</v>
      </c>
      <c r="E18" s="48">
        <v>2</v>
      </c>
      <c r="F18" s="21" t="s">
        <v>145</v>
      </c>
      <c r="G18" s="48">
        <v>0</v>
      </c>
      <c r="H18" s="20" t="s">
        <v>69</v>
      </c>
      <c r="I18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4.25" customHeight="1" x14ac:dyDescent="0.3">
      <c r="A19" s="20" t="s">
        <v>71</v>
      </c>
      <c r="B19" s="20" t="s">
        <v>70</v>
      </c>
      <c r="C19" s="20" t="s">
        <v>29</v>
      </c>
      <c r="D19" s="20" t="s">
        <v>72</v>
      </c>
      <c r="E19" s="48">
        <v>0</v>
      </c>
      <c r="F19" s="21" t="s">
        <v>145</v>
      </c>
      <c r="G19" s="48">
        <v>2</v>
      </c>
      <c r="H19" s="20" t="s">
        <v>73</v>
      </c>
      <c r="I19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4.25" customHeight="1" x14ac:dyDescent="0.3">
      <c r="A20" s="20" t="s">
        <v>74</v>
      </c>
      <c r="B20" s="20" t="s">
        <v>70</v>
      </c>
      <c r="C20" s="20" t="s">
        <v>21</v>
      </c>
      <c r="D20" s="20" t="s">
        <v>75</v>
      </c>
      <c r="E20" s="48">
        <v>3</v>
      </c>
      <c r="F20" s="21" t="s">
        <v>145</v>
      </c>
      <c r="G20" s="48">
        <v>0</v>
      </c>
      <c r="H20" s="20" t="s">
        <v>76</v>
      </c>
      <c r="I20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4.25" customHeight="1" x14ac:dyDescent="0.3">
      <c r="A21" s="20" t="s">
        <v>77</v>
      </c>
      <c r="B21" s="20" t="s">
        <v>80</v>
      </c>
      <c r="C21" s="20" t="s">
        <v>37</v>
      </c>
      <c r="D21" s="20" t="s">
        <v>78</v>
      </c>
      <c r="E21" s="48">
        <v>2</v>
      </c>
      <c r="F21" s="21" t="s">
        <v>145</v>
      </c>
      <c r="G21" s="48">
        <v>0</v>
      </c>
      <c r="H21" s="20" t="s">
        <v>79</v>
      </c>
      <c r="I21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4.25" customHeight="1" x14ac:dyDescent="0.3">
      <c r="A22" s="20" t="s">
        <v>81</v>
      </c>
      <c r="B22" s="20" t="s">
        <v>80</v>
      </c>
      <c r="C22" s="20" t="s">
        <v>41</v>
      </c>
      <c r="D22" s="20" t="s">
        <v>82</v>
      </c>
      <c r="E22" s="48">
        <v>4</v>
      </c>
      <c r="F22" s="21" t="s">
        <v>145</v>
      </c>
      <c r="G22" s="48">
        <v>0</v>
      </c>
      <c r="H22" s="20" t="s">
        <v>83</v>
      </c>
      <c r="I22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4.25" customHeight="1" x14ac:dyDescent="0.3">
      <c r="A23" s="20" t="s">
        <v>84</v>
      </c>
      <c r="B23" s="20" t="s">
        <v>80</v>
      </c>
      <c r="C23" s="20" t="s">
        <v>45</v>
      </c>
      <c r="D23" s="20" t="s">
        <v>85</v>
      </c>
      <c r="E23" s="48">
        <v>2</v>
      </c>
      <c r="F23" s="21" t="s">
        <v>145</v>
      </c>
      <c r="G23" s="48">
        <v>1</v>
      </c>
      <c r="H23" s="20" t="s">
        <v>86</v>
      </c>
      <c r="I23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4.25" customHeight="1" x14ac:dyDescent="0.3">
      <c r="A24" s="20" t="s">
        <v>87</v>
      </c>
      <c r="B24" s="20" t="s">
        <v>80</v>
      </c>
      <c r="C24" s="20" t="s">
        <v>49</v>
      </c>
      <c r="D24" s="20" t="s">
        <v>88</v>
      </c>
      <c r="E24" s="48">
        <v>2</v>
      </c>
      <c r="F24" s="21" t="s">
        <v>145</v>
      </c>
      <c r="G24" s="48">
        <v>0</v>
      </c>
      <c r="H24" s="20" t="s">
        <v>89</v>
      </c>
      <c r="I24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4.25" customHeight="1" x14ac:dyDescent="0.3">
      <c r="A25" s="20" t="s">
        <v>90</v>
      </c>
      <c r="B25" s="20" t="s">
        <v>80</v>
      </c>
      <c r="C25" s="20" t="s">
        <v>13</v>
      </c>
      <c r="D25" s="20" t="s">
        <v>91</v>
      </c>
      <c r="E25" s="48">
        <v>0</v>
      </c>
      <c r="F25" s="21" t="s">
        <v>145</v>
      </c>
      <c r="G25" s="48">
        <v>1</v>
      </c>
      <c r="H25" s="20" t="s">
        <v>92</v>
      </c>
      <c r="I25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4.25" customHeight="1" x14ac:dyDescent="0.3">
      <c r="A26" s="20" t="s">
        <v>93</v>
      </c>
      <c r="B26" s="20" t="s">
        <v>94</v>
      </c>
      <c r="C26" s="20" t="s">
        <v>57</v>
      </c>
      <c r="D26" s="20" t="s">
        <v>12</v>
      </c>
      <c r="E26" s="48">
        <v>1</v>
      </c>
      <c r="F26" s="21" t="s">
        <v>145</v>
      </c>
      <c r="G26" s="48">
        <v>0</v>
      </c>
      <c r="H26" s="20" t="s">
        <v>7</v>
      </c>
      <c r="I26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4.25" customHeight="1" x14ac:dyDescent="0.3">
      <c r="A27" s="20" t="s">
        <v>95</v>
      </c>
      <c r="B27" s="20" t="s">
        <v>94</v>
      </c>
      <c r="C27" s="20" t="s">
        <v>9</v>
      </c>
      <c r="D27" s="20" t="s">
        <v>24</v>
      </c>
      <c r="E27" s="48">
        <v>1</v>
      </c>
      <c r="F27" s="21" t="s">
        <v>145</v>
      </c>
      <c r="G27" s="48">
        <v>0</v>
      </c>
      <c r="H27" s="20" t="s">
        <v>16</v>
      </c>
      <c r="I27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4.25" customHeight="1" x14ac:dyDescent="0.3">
      <c r="A28" s="20" t="s">
        <v>96</v>
      </c>
      <c r="B28" s="20" t="s">
        <v>94</v>
      </c>
      <c r="C28" s="20" t="s">
        <v>29</v>
      </c>
      <c r="D28" s="20" t="s">
        <v>15</v>
      </c>
      <c r="E28" s="48">
        <v>1</v>
      </c>
      <c r="F28" s="21" t="s">
        <v>145</v>
      </c>
      <c r="G28" s="48">
        <v>1</v>
      </c>
      <c r="H28" s="20" t="s">
        <v>23</v>
      </c>
      <c r="I28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4.25" customHeight="1" x14ac:dyDescent="0.3">
      <c r="A29" s="20" t="s">
        <v>97</v>
      </c>
      <c r="B29" s="20" t="s">
        <v>94</v>
      </c>
      <c r="C29" s="20" t="s">
        <v>21</v>
      </c>
      <c r="D29" s="20" t="s">
        <v>6</v>
      </c>
      <c r="E29" s="48">
        <v>1</v>
      </c>
      <c r="F29" s="21" t="s">
        <v>145</v>
      </c>
      <c r="G29" s="48">
        <v>0</v>
      </c>
      <c r="H29" s="20" t="s">
        <v>11</v>
      </c>
      <c r="I29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4.25" customHeight="1" x14ac:dyDescent="0.3">
      <c r="A30" s="20" t="s">
        <v>98</v>
      </c>
      <c r="B30" s="20" t="s">
        <v>99</v>
      </c>
      <c r="C30" s="20" t="s">
        <v>9</v>
      </c>
      <c r="D30" s="20" t="s">
        <v>19</v>
      </c>
      <c r="E30" s="48">
        <v>1</v>
      </c>
      <c r="F30" s="21" t="s">
        <v>145</v>
      </c>
      <c r="G30" s="48">
        <v>2</v>
      </c>
      <c r="H30" s="20" t="s">
        <v>34</v>
      </c>
      <c r="I30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4.25" customHeight="1" x14ac:dyDescent="0.3">
      <c r="A31" s="20" t="s">
        <v>100</v>
      </c>
      <c r="B31" s="20" t="s">
        <v>99</v>
      </c>
      <c r="C31" s="20" t="s">
        <v>29</v>
      </c>
      <c r="D31" s="20" t="s">
        <v>32</v>
      </c>
      <c r="E31" s="48">
        <v>0</v>
      </c>
      <c r="F31" s="21" t="s">
        <v>145</v>
      </c>
      <c r="G31" s="48">
        <v>0</v>
      </c>
      <c r="H31" s="20" t="s">
        <v>28</v>
      </c>
      <c r="I31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4.25" customHeight="1" x14ac:dyDescent="0.3">
      <c r="A32" s="20" t="s">
        <v>101</v>
      </c>
      <c r="B32" s="20" t="s">
        <v>99</v>
      </c>
      <c r="C32" s="20" t="s">
        <v>102</v>
      </c>
      <c r="D32" s="20" t="s">
        <v>27</v>
      </c>
      <c r="E32" s="48">
        <v>4</v>
      </c>
      <c r="F32" s="21" t="s">
        <v>145</v>
      </c>
      <c r="G32" s="48">
        <v>0</v>
      </c>
      <c r="H32" s="20" t="s">
        <v>31</v>
      </c>
      <c r="I32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4.25" customHeight="1" x14ac:dyDescent="0.3">
      <c r="A33" s="20" t="s">
        <v>103</v>
      </c>
      <c r="B33" s="20" t="s">
        <v>104</v>
      </c>
      <c r="C33" s="20" t="s">
        <v>105</v>
      </c>
      <c r="D33" s="20" t="s">
        <v>35</v>
      </c>
      <c r="E33" s="48">
        <v>0</v>
      </c>
      <c r="F33" s="21" t="s">
        <v>145</v>
      </c>
      <c r="G33" s="48">
        <v>0</v>
      </c>
      <c r="H33" s="20" t="s">
        <v>20</v>
      </c>
      <c r="I33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4.25" customHeight="1" x14ac:dyDescent="0.3">
      <c r="A34" s="20" t="s">
        <v>106</v>
      </c>
      <c r="B34" s="20" t="s">
        <v>104</v>
      </c>
      <c r="C34" s="20" t="s">
        <v>41</v>
      </c>
      <c r="D34" s="20" t="s">
        <v>43</v>
      </c>
      <c r="E34" s="48">
        <v>1</v>
      </c>
      <c r="F34" s="21" t="s">
        <v>145</v>
      </c>
      <c r="G34" s="48">
        <v>1</v>
      </c>
      <c r="H34" s="20" t="s">
        <v>51</v>
      </c>
      <c r="I34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4.25" customHeight="1" x14ac:dyDescent="0.3">
      <c r="A35" s="20" t="s">
        <v>107</v>
      </c>
      <c r="B35" s="20" t="s">
        <v>104</v>
      </c>
      <c r="C35" s="20" t="s">
        <v>45</v>
      </c>
      <c r="D35" s="20" t="s">
        <v>39</v>
      </c>
      <c r="E35" s="48">
        <v>3</v>
      </c>
      <c r="F35" s="21" t="s">
        <v>145</v>
      </c>
      <c r="G35" s="48">
        <v>0</v>
      </c>
      <c r="H35" s="20" t="s">
        <v>47</v>
      </c>
      <c r="I35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4.25" customHeight="1" x14ac:dyDescent="0.3">
      <c r="A36" s="20" t="s">
        <v>108</v>
      </c>
      <c r="B36" s="20" t="s">
        <v>104</v>
      </c>
      <c r="C36" s="20" t="s">
        <v>109</v>
      </c>
      <c r="D36" s="20" t="s">
        <v>48</v>
      </c>
      <c r="E36" s="48">
        <v>0</v>
      </c>
      <c r="F36" s="21" t="s">
        <v>145</v>
      </c>
      <c r="G36" s="48">
        <v>0</v>
      </c>
      <c r="H36" s="20" t="s">
        <v>40</v>
      </c>
      <c r="I36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4.25" customHeight="1" x14ac:dyDescent="0.3">
      <c r="A37" s="20" t="s">
        <v>110</v>
      </c>
      <c r="B37" s="20" t="s">
        <v>111</v>
      </c>
      <c r="C37" s="20" t="s">
        <v>37</v>
      </c>
      <c r="D37" s="20" t="s">
        <v>52</v>
      </c>
      <c r="E37" s="48">
        <v>0</v>
      </c>
      <c r="F37" s="21" t="s">
        <v>145</v>
      </c>
      <c r="G37" s="48">
        <v>1</v>
      </c>
      <c r="H37" s="20" t="s">
        <v>44</v>
      </c>
      <c r="I37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4.25" customHeight="1" x14ac:dyDescent="0.3">
      <c r="A38" s="20" t="s">
        <v>112</v>
      </c>
      <c r="B38" s="20" t="s">
        <v>111</v>
      </c>
      <c r="C38" s="20" t="s">
        <v>57</v>
      </c>
      <c r="D38" s="20" t="s">
        <v>54</v>
      </c>
      <c r="E38" s="48">
        <v>3</v>
      </c>
      <c r="F38" s="21" t="s">
        <v>145</v>
      </c>
      <c r="G38" s="48">
        <v>1</v>
      </c>
      <c r="H38" s="20" t="s">
        <v>62</v>
      </c>
      <c r="I38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4.25" customHeight="1" x14ac:dyDescent="0.3">
      <c r="A39" s="20" t="s">
        <v>113</v>
      </c>
      <c r="B39" s="20" t="s">
        <v>111</v>
      </c>
      <c r="C39" s="20" t="s">
        <v>9</v>
      </c>
      <c r="D39" s="20" t="s">
        <v>59</v>
      </c>
      <c r="E39" s="48">
        <v>4</v>
      </c>
      <c r="F39" s="21" t="s">
        <v>145</v>
      </c>
      <c r="G39" s="48">
        <v>0</v>
      </c>
      <c r="H39" s="20" t="s">
        <v>65</v>
      </c>
      <c r="I39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4.25" customHeight="1" x14ac:dyDescent="0.3">
      <c r="A40" s="20" t="s">
        <v>114</v>
      </c>
      <c r="B40" s="20" t="s">
        <v>111</v>
      </c>
      <c r="C40" s="20" t="s">
        <v>29</v>
      </c>
      <c r="D40" s="20" t="s">
        <v>63</v>
      </c>
      <c r="E40" s="48">
        <v>1</v>
      </c>
      <c r="F40" s="21" t="s">
        <v>145</v>
      </c>
      <c r="G40" s="48">
        <v>0</v>
      </c>
      <c r="H40" s="20" t="s">
        <v>55</v>
      </c>
      <c r="I40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4.25" customHeight="1" x14ac:dyDescent="0.3">
      <c r="A41" s="20" t="s">
        <v>115</v>
      </c>
      <c r="B41" s="20" t="s">
        <v>111</v>
      </c>
      <c r="C41" s="20" t="s">
        <v>21</v>
      </c>
      <c r="D41" s="20" t="s">
        <v>66</v>
      </c>
      <c r="E41" s="48">
        <v>1</v>
      </c>
      <c r="F41" s="21" t="s">
        <v>145</v>
      </c>
      <c r="G41" s="48">
        <v>0</v>
      </c>
      <c r="H41" s="20" t="s">
        <v>60</v>
      </c>
      <c r="I41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4.25" customHeight="1" x14ac:dyDescent="0.3">
      <c r="A42" s="20" t="s">
        <v>116</v>
      </c>
      <c r="B42" s="20" t="s">
        <v>117</v>
      </c>
      <c r="C42" s="20" t="s">
        <v>41</v>
      </c>
      <c r="D42" s="20" t="s">
        <v>75</v>
      </c>
      <c r="E42" s="48">
        <v>3</v>
      </c>
      <c r="F42" s="21" t="s">
        <v>145</v>
      </c>
      <c r="G42" s="48">
        <v>2</v>
      </c>
      <c r="H42" s="20" t="s">
        <v>78</v>
      </c>
      <c r="I42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4.25" customHeight="1" x14ac:dyDescent="0.3">
      <c r="A43" s="20" t="s">
        <v>118</v>
      </c>
      <c r="B43" s="20" t="s">
        <v>117</v>
      </c>
      <c r="C43" s="20" t="s">
        <v>119</v>
      </c>
      <c r="D43" s="20" t="s">
        <v>68</v>
      </c>
      <c r="E43" s="48">
        <v>2</v>
      </c>
      <c r="F43" s="21" t="s">
        <v>145</v>
      </c>
      <c r="G43" s="48">
        <v>0</v>
      </c>
      <c r="H43" s="20" t="s">
        <v>72</v>
      </c>
      <c r="I43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4.25" customHeight="1" x14ac:dyDescent="0.3">
      <c r="A44" s="20" t="s">
        <v>120</v>
      </c>
      <c r="B44" s="20" t="s">
        <v>117</v>
      </c>
      <c r="C44" s="20" t="s">
        <v>109</v>
      </c>
      <c r="D44" s="20" t="s">
        <v>73</v>
      </c>
      <c r="E44" s="48">
        <v>2</v>
      </c>
      <c r="F44" s="21" t="s">
        <v>145</v>
      </c>
      <c r="G44" s="48">
        <v>0</v>
      </c>
      <c r="H44" s="20" t="s">
        <v>69</v>
      </c>
      <c r="I44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4.25" customHeight="1" x14ac:dyDescent="0.3">
      <c r="A45" s="20" t="s">
        <v>121</v>
      </c>
      <c r="B45" s="20" t="s">
        <v>122</v>
      </c>
      <c r="C45" s="20" t="s">
        <v>105</v>
      </c>
      <c r="D45" s="20" t="s">
        <v>79</v>
      </c>
      <c r="E45" s="48">
        <v>0</v>
      </c>
      <c r="F45" s="21" t="s">
        <v>145</v>
      </c>
      <c r="G45" s="48">
        <v>1</v>
      </c>
      <c r="H45" s="20" t="s">
        <v>76</v>
      </c>
      <c r="I45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4.25" customHeight="1" x14ac:dyDescent="0.3">
      <c r="A46" s="20" t="s">
        <v>123</v>
      </c>
      <c r="B46" s="20" t="s">
        <v>122</v>
      </c>
      <c r="C46" s="20" t="s">
        <v>41</v>
      </c>
      <c r="D46" s="20" t="s">
        <v>82</v>
      </c>
      <c r="E46" s="48">
        <v>3</v>
      </c>
      <c r="F46" s="21" t="s">
        <v>145</v>
      </c>
      <c r="G46" s="48">
        <v>0</v>
      </c>
      <c r="H46" s="20" t="s">
        <v>91</v>
      </c>
      <c r="I46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4.25" customHeight="1" x14ac:dyDescent="0.3">
      <c r="A47" s="20" t="s">
        <v>124</v>
      </c>
      <c r="B47" s="20" t="s">
        <v>122</v>
      </c>
      <c r="C47" s="20" t="s">
        <v>45</v>
      </c>
      <c r="D47" s="20" t="s">
        <v>85</v>
      </c>
      <c r="E47" s="48">
        <v>1</v>
      </c>
      <c r="F47" s="21" t="s">
        <v>145</v>
      </c>
      <c r="G47" s="48">
        <v>0</v>
      </c>
      <c r="H47" s="20" t="s">
        <v>88</v>
      </c>
      <c r="I47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4.25" customHeight="1" x14ac:dyDescent="0.3">
      <c r="A48" s="20" t="s">
        <v>125</v>
      </c>
      <c r="B48" s="20" t="s">
        <v>122</v>
      </c>
      <c r="C48" s="20" t="s">
        <v>49</v>
      </c>
      <c r="D48" s="20" t="s">
        <v>89</v>
      </c>
      <c r="E48" s="48">
        <v>1</v>
      </c>
      <c r="F48" s="21" t="s">
        <v>145</v>
      </c>
      <c r="G48" s="48">
        <v>1</v>
      </c>
      <c r="H48" s="20" t="s">
        <v>86</v>
      </c>
      <c r="I48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4.25" customHeight="1" x14ac:dyDescent="0.3">
      <c r="A49" s="20" t="s">
        <v>126</v>
      </c>
      <c r="B49" s="20" t="s">
        <v>122</v>
      </c>
      <c r="C49" s="20" t="s">
        <v>13</v>
      </c>
      <c r="D49" s="20" t="s">
        <v>92</v>
      </c>
      <c r="E49" s="48">
        <v>1</v>
      </c>
      <c r="F49" s="21" t="s">
        <v>145</v>
      </c>
      <c r="G49" s="48">
        <v>0</v>
      </c>
      <c r="H49" s="20" t="s">
        <v>83</v>
      </c>
      <c r="I49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4.25" customHeight="1" x14ac:dyDescent="0.3">
      <c r="A50" s="20" t="s">
        <v>127</v>
      </c>
      <c r="B50" s="20" t="s">
        <v>128</v>
      </c>
      <c r="C50" s="20" t="s">
        <v>9</v>
      </c>
      <c r="D50" s="20" t="s">
        <v>16</v>
      </c>
      <c r="E50" s="48">
        <v>0</v>
      </c>
      <c r="F50" s="21" t="s">
        <v>145</v>
      </c>
      <c r="G50" s="48">
        <v>0</v>
      </c>
      <c r="H50" s="20" t="s">
        <v>23</v>
      </c>
      <c r="I50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4.25" customHeight="1" x14ac:dyDescent="0.3">
      <c r="A51" s="20" t="s">
        <v>127</v>
      </c>
      <c r="B51" s="20" t="s">
        <v>128</v>
      </c>
      <c r="C51" s="20" t="s">
        <v>9</v>
      </c>
      <c r="D51" s="20" t="s">
        <v>24</v>
      </c>
      <c r="E51" s="48">
        <v>1</v>
      </c>
      <c r="F51" s="21" t="s">
        <v>145</v>
      </c>
      <c r="G51" s="48">
        <v>0</v>
      </c>
      <c r="H51" s="20" t="s">
        <v>15</v>
      </c>
      <c r="I51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4.25" customHeight="1" x14ac:dyDescent="0.3">
      <c r="A52" s="20" t="s">
        <v>129</v>
      </c>
      <c r="B52" s="20" t="s">
        <v>128</v>
      </c>
      <c r="C52" s="20" t="s">
        <v>29</v>
      </c>
      <c r="D52" s="20" t="s">
        <v>32</v>
      </c>
      <c r="E52" s="48">
        <v>1</v>
      </c>
      <c r="F52" s="21" t="s">
        <v>145</v>
      </c>
      <c r="G52" s="48">
        <v>2</v>
      </c>
      <c r="H52" s="20" t="s">
        <v>27</v>
      </c>
      <c r="I52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4.25" customHeight="1" x14ac:dyDescent="0.3">
      <c r="A53" s="20" t="s">
        <v>129</v>
      </c>
      <c r="B53" s="20" t="s">
        <v>128</v>
      </c>
      <c r="C53" s="20" t="s">
        <v>29</v>
      </c>
      <c r="D53" s="20" t="s">
        <v>28</v>
      </c>
      <c r="E53" s="48">
        <v>0</v>
      </c>
      <c r="F53" s="21" t="s">
        <v>145</v>
      </c>
      <c r="G53" s="48">
        <v>0</v>
      </c>
      <c r="H53" s="20" t="s">
        <v>31</v>
      </c>
      <c r="I53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4.25" customHeight="1" x14ac:dyDescent="0.3">
      <c r="A54" s="20" t="s">
        <v>130</v>
      </c>
      <c r="B54" s="20" t="s">
        <v>128</v>
      </c>
      <c r="C54" s="20" t="s">
        <v>21</v>
      </c>
      <c r="D54" s="20" t="s">
        <v>7</v>
      </c>
      <c r="E54" s="48">
        <v>1</v>
      </c>
      <c r="F54" s="21" t="s">
        <v>145</v>
      </c>
      <c r="G54" s="48">
        <v>0</v>
      </c>
      <c r="H54" s="20" t="s">
        <v>11</v>
      </c>
      <c r="I54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4.25" customHeight="1" x14ac:dyDescent="0.3">
      <c r="A55" s="20" t="s">
        <v>130</v>
      </c>
      <c r="B55" s="20" t="s">
        <v>128</v>
      </c>
      <c r="C55" s="20" t="s">
        <v>21</v>
      </c>
      <c r="D55" s="20" t="s">
        <v>12</v>
      </c>
      <c r="E55" s="48">
        <v>1</v>
      </c>
      <c r="F55" s="21" t="s">
        <v>145</v>
      </c>
      <c r="G55" s="48">
        <v>0</v>
      </c>
      <c r="H55" s="20" t="s">
        <v>6</v>
      </c>
      <c r="I55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4.25" customHeight="1" x14ac:dyDescent="0.3">
      <c r="A56" s="20" t="s">
        <v>131</v>
      </c>
      <c r="B56" s="20" t="s">
        <v>132</v>
      </c>
      <c r="C56" s="20" t="s">
        <v>45</v>
      </c>
      <c r="D56" s="20" t="s">
        <v>40</v>
      </c>
      <c r="E56" s="48">
        <v>0</v>
      </c>
      <c r="F56" s="21" t="s">
        <v>145</v>
      </c>
      <c r="G56" s="48">
        <v>0</v>
      </c>
      <c r="H56" s="20" t="s">
        <v>47</v>
      </c>
      <c r="I56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4.25" customHeight="1" x14ac:dyDescent="0.3">
      <c r="A57" s="20" t="s">
        <v>131</v>
      </c>
      <c r="B57" s="20" t="s">
        <v>132</v>
      </c>
      <c r="C57" s="20" t="s">
        <v>45</v>
      </c>
      <c r="D57" s="20" t="s">
        <v>48</v>
      </c>
      <c r="E57" s="48">
        <v>1</v>
      </c>
      <c r="F57" s="21" t="s">
        <v>145</v>
      </c>
      <c r="G57" s="48">
        <v>3</v>
      </c>
      <c r="H57" s="20" t="s">
        <v>39</v>
      </c>
      <c r="I57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4.25" customHeight="1" x14ac:dyDescent="0.3">
      <c r="A58" s="20" t="s">
        <v>133</v>
      </c>
      <c r="B58" s="20" t="s">
        <v>132</v>
      </c>
      <c r="C58" s="20" t="s">
        <v>49</v>
      </c>
      <c r="D58" s="20" t="s">
        <v>44</v>
      </c>
      <c r="E58" s="48">
        <v>1</v>
      </c>
      <c r="F58" s="21" t="s">
        <v>145</v>
      </c>
      <c r="G58" s="48">
        <v>2</v>
      </c>
      <c r="H58" s="20" t="s">
        <v>51</v>
      </c>
      <c r="I58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4.25" customHeight="1" x14ac:dyDescent="0.3">
      <c r="A59" s="20" t="s">
        <v>133</v>
      </c>
      <c r="B59" s="20" t="s">
        <v>132</v>
      </c>
      <c r="C59" s="20" t="s">
        <v>49</v>
      </c>
      <c r="D59" s="20" t="s">
        <v>52</v>
      </c>
      <c r="E59" s="48">
        <v>0</v>
      </c>
      <c r="F59" s="21" t="s">
        <v>145</v>
      </c>
      <c r="G59" s="48">
        <v>1</v>
      </c>
      <c r="H59" s="20" t="s">
        <v>43</v>
      </c>
      <c r="I59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4.25" customHeight="1" x14ac:dyDescent="0.3">
      <c r="A60" s="20" t="s">
        <v>134</v>
      </c>
      <c r="B60" s="20" t="s">
        <v>132</v>
      </c>
      <c r="C60" s="20" t="s">
        <v>13</v>
      </c>
      <c r="D60" s="20" t="s">
        <v>20</v>
      </c>
      <c r="E60" s="48">
        <v>0</v>
      </c>
      <c r="F60" s="21" t="s">
        <v>145</v>
      </c>
      <c r="G60" s="48">
        <v>2</v>
      </c>
      <c r="H60" s="20" t="s">
        <v>34</v>
      </c>
      <c r="I60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4.25" customHeight="1" x14ac:dyDescent="0.3">
      <c r="A61" s="20" t="s">
        <v>134</v>
      </c>
      <c r="B61" s="20" t="s">
        <v>132</v>
      </c>
      <c r="C61" s="20" t="s">
        <v>13</v>
      </c>
      <c r="D61" s="20" t="s">
        <v>35</v>
      </c>
      <c r="E61" s="48">
        <v>0</v>
      </c>
      <c r="F61" s="21" t="s">
        <v>145</v>
      </c>
      <c r="G61" s="48">
        <v>0</v>
      </c>
      <c r="H61" s="20" t="s">
        <v>19</v>
      </c>
      <c r="I61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4.25" customHeight="1" x14ac:dyDescent="0.3">
      <c r="A62" s="20" t="s">
        <v>135</v>
      </c>
      <c r="B62" s="20" t="s">
        <v>136</v>
      </c>
      <c r="C62" s="20" t="s">
        <v>9</v>
      </c>
      <c r="D62" s="20" t="s">
        <v>73</v>
      </c>
      <c r="E62" s="48">
        <v>1</v>
      </c>
      <c r="F62" s="21" t="s">
        <v>145</v>
      </c>
      <c r="G62" s="48">
        <v>3</v>
      </c>
      <c r="H62" s="20" t="s">
        <v>68</v>
      </c>
      <c r="I62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4.25" customHeight="1" x14ac:dyDescent="0.3">
      <c r="A63" s="20" t="s">
        <v>135</v>
      </c>
      <c r="B63" s="20" t="s">
        <v>136</v>
      </c>
      <c r="C63" s="20" t="s">
        <v>9</v>
      </c>
      <c r="D63" s="20" t="s">
        <v>69</v>
      </c>
      <c r="E63" s="48">
        <v>0</v>
      </c>
      <c r="F63" s="21" t="s">
        <v>145</v>
      </c>
      <c r="G63" s="48">
        <v>2</v>
      </c>
      <c r="H63" s="20" t="s">
        <v>72</v>
      </c>
      <c r="I63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4.25" customHeight="1" x14ac:dyDescent="0.3">
      <c r="A64" s="20" t="s">
        <v>137</v>
      </c>
      <c r="B64" s="20" t="s">
        <v>136</v>
      </c>
      <c r="C64" s="20" t="s">
        <v>109</v>
      </c>
      <c r="D64" s="20" t="s">
        <v>55</v>
      </c>
      <c r="E64" s="48">
        <v>0</v>
      </c>
      <c r="F64" s="21" t="s">
        <v>145</v>
      </c>
      <c r="G64" s="48">
        <v>0</v>
      </c>
      <c r="H64" s="20" t="s">
        <v>62</v>
      </c>
      <c r="I64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4.25" customHeight="1" x14ac:dyDescent="0.3">
      <c r="A65" s="20" t="s">
        <v>137</v>
      </c>
      <c r="B65" s="20" t="s">
        <v>136</v>
      </c>
      <c r="C65" s="20" t="s">
        <v>109</v>
      </c>
      <c r="D65" s="20" t="s">
        <v>63</v>
      </c>
      <c r="E65" s="48">
        <v>1</v>
      </c>
      <c r="F65" s="21" t="s">
        <v>145</v>
      </c>
      <c r="G65" s="48">
        <v>2</v>
      </c>
      <c r="H65" s="20" t="s">
        <v>54</v>
      </c>
      <c r="I65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4.25" customHeight="1" x14ac:dyDescent="0.3">
      <c r="A66" s="20" t="s">
        <v>138</v>
      </c>
      <c r="B66" s="20" t="s">
        <v>139</v>
      </c>
      <c r="C66" s="20" t="s">
        <v>105</v>
      </c>
      <c r="D66" s="20" t="s">
        <v>60</v>
      </c>
      <c r="E66" s="48">
        <v>0</v>
      </c>
      <c r="F66" s="21" t="s">
        <v>145</v>
      </c>
      <c r="G66" s="48">
        <v>0</v>
      </c>
      <c r="H66" s="20" t="s">
        <v>65</v>
      </c>
      <c r="I66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4.25" customHeight="1" x14ac:dyDescent="0.3">
      <c r="A67" s="20" t="s">
        <v>138</v>
      </c>
      <c r="B67" s="20" t="s">
        <v>139</v>
      </c>
      <c r="C67" s="20" t="s">
        <v>105</v>
      </c>
      <c r="D67" s="20" t="s">
        <v>66</v>
      </c>
      <c r="E67" s="48">
        <v>2</v>
      </c>
      <c r="F67" s="21" t="s">
        <v>145</v>
      </c>
      <c r="G67" s="48">
        <v>2</v>
      </c>
      <c r="H67" s="20" t="s">
        <v>59</v>
      </c>
      <c r="I67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4.25" customHeight="1" x14ac:dyDescent="0.3">
      <c r="A68" s="20" t="s">
        <v>140</v>
      </c>
      <c r="B68" s="20" t="s">
        <v>139</v>
      </c>
      <c r="C68" s="20" t="s">
        <v>119</v>
      </c>
      <c r="D68" s="20" t="s">
        <v>86</v>
      </c>
      <c r="E68" s="48">
        <v>0</v>
      </c>
      <c r="F68" s="21" t="s">
        <v>145</v>
      </c>
      <c r="G68" s="48">
        <v>0</v>
      </c>
      <c r="H68" s="20" t="s">
        <v>88</v>
      </c>
      <c r="I68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4.25" customHeight="1" x14ac:dyDescent="0.3">
      <c r="A69" s="20" t="s">
        <v>140</v>
      </c>
      <c r="B69" s="20" t="s">
        <v>139</v>
      </c>
      <c r="C69" s="20" t="s">
        <v>119</v>
      </c>
      <c r="D69" s="20" t="s">
        <v>89</v>
      </c>
      <c r="E69" s="48">
        <v>1</v>
      </c>
      <c r="F69" s="21" t="s">
        <v>145</v>
      </c>
      <c r="G69" s="48">
        <v>2</v>
      </c>
      <c r="H69" s="20" t="s">
        <v>85</v>
      </c>
      <c r="I69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4.25" customHeight="1" x14ac:dyDescent="0.3">
      <c r="A70" s="20" t="s">
        <v>141</v>
      </c>
      <c r="B70" s="20" t="s">
        <v>139</v>
      </c>
      <c r="C70" s="20" t="s">
        <v>142</v>
      </c>
      <c r="D70" s="20" t="s">
        <v>92</v>
      </c>
      <c r="E70" s="48">
        <v>1</v>
      </c>
      <c r="F70" s="21" t="s">
        <v>145</v>
      </c>
      <c r="G70" s="48">
        <v>3</v>
      </c>
      <c r="H70" s="20" t="s">
        <v>82</v>
      </c>
      <c r="I70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4.25" customHeight="1" x14ac:dyDescent="0.3">
      <c r="A71" s="20" t="s">
        <v>141</v>
      </c>
      <c r="B71" s="20" t="s">
        <v>139</v>
      </c>
      <c r="C71" s="20" t="s">
        <v>142</v>
      </c>
      <c r="D71" s="20" t="s">
        <v>83</v>
      </c>
      <c r="E71" s="48">
        <v>0</v>
      </c>
      <c r="F71" s="21" t="s">
        <v>145</v>
      </c>
      <c r="G71" s="48">
        <v>0</v>
      </c>
      <c r="H71" s="20" t="s">
        <v>91</v>
      </c>
      <c r="I71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4.25" customHeight="1" x14ac:dyDescent="0.3">
      <c r="A72" s="20" t="s">
        <v>143</v>
      </c>
      <c r="B72" s="20" t="s">
        <v>139</v>
      </c>
      <c r="C72" s="20" t="s">
        <v>13</v>
      </c>
      <c r="D72" s="20" t="s">
        <v>76</v>
      </c>
      <c r="E72" s="48">
        <v>0</v>
      </c>
      <c r="F72" s="21" t="s">
        <v>145</v>
      </c>
      <c r="G72" s="48">
        <v>1</v>
      </c>
      <c r="H72" s="20" t="s">
        <v>78</v>
      </c>
      <c r="I72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4.25" customHeight="1" x14ac:dyDescent="0.3">
      <c r="A73" s="20" t="s">
        <v>143</v>
      </c>
      <c r="B73" s="20" t="s">
        <v>139</v>
      </c>
      <c r="C73" s="20" t="s">
        <v>13</v>
      </c>
      <c r="D73" s="20" t="s">
        <v>79</v>
      </c>
      <c r="E73" s="48">
        <v>0</v>
      </c>
      <c r="F73" s="21" t="s">
        <v>145</v>
      </c>
      <c r="G73" s="48">
        <v>3</v>
      </c>
      <c r="H73" s="20" t="s">
        <v>75</v>
      </c>
      <c r="I73" s="2">
        <f>IF(OR(Table_1[[#This Row],[Placar Mandante]]="",Table_1[[#This Row],[Placar Visitante]]="",Tabela_3[[#This Row],[Placar Mandante]]="",Tabela_3[[#This Row],[Placar Visitante]]=""),0,
IF(AND(Table_1[[#This Row],[Placar Mandante]]=Tabela_3[[#This Row],[Placar Mandante]],Table_1[[#This Row],[Placar Visitante]]=Tabela_3[[#This Row],[Placar Visitante]]),3,
IF(SIGN(Table_1[[#This Row],[Placar Mandante]]-Table_1[[#This Row],[Placar Visitante]])=SIGN(Tabela_3[[#This Row],[Placar Mandante]]-Tabela_3[[#This Row],[Placar Visitante]]),1,0)))</f>
        <v>0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4.25" customHeight="1" x14ac:dyDescent="0.3">
      <c r="A74" s="20"/>
      <c r="B74" s="20"/>
      <c r="C74" s="20"/>
      <c r="D74" s="20"/>
      <c r="E74" s="20"/>
      <c r="F74" s="21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4.25" customHeight="1" x14ac:dyDescent="0.3">
      <c r="A75" s="20"/>
      <c r="B75" s="20"/>
      <c r="C75" s="20"/>
      <c r="D75" s="20"/>
      <c r="E75" s="20"/>
      <c r="F75" s="21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4.25" customHeight="1" x14ac:dyDescent="0.3">
      <c r="A76" s="20"/>
      <c r="B76" s="20"/>
      <c r="C76" s="20"/>
      <c r="D76" s="20"/>
      <c r="E76" s="20"/>
      <c r="F76" s="21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4.25" customHeight="1" x14ac:dyDescent="0.3">
      <c r="A77" s="20"/>
      <c r="B77" s="20"/>
      <c r="C77" s="20"/>
      <c r="D77" s="20"/>
      <c r="E77" s="20"/>
      <c r="F77" s="21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4.25" customHeight="1" x14ac:dyDescent="0.3">
      <c r="A78" s="20"/>
      <c r="B78" s="20"/>
      <c r="C78" s="20"/>
      <c r="D78" s="20"/>
      <c r="E78" s="20"/>
      <c r="F78" s="21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4.25" customHeight="1" x14ac:dyDescent="0.3">
      <c r="A79" s="20"/>
      <c r="B79" s="20"/>
      <c r="C79" s="20"/>
      <c r="D79" s="20"/>
      <c r="E79" s="20"/>
      <c r="F79" s="21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4.25" customHeight="1" x14ac:dyDescent="0.3">
      <c r="A80" s="20"/>
      <c r="B80" s="20"/>
      <c r="C80" s="20"/>
      <c r="D80" s="20"/>
      <c r="E80" s="20"/>
      <c r="F80" s="21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4.25" customHeight="1" x14ac:dyDescent="0.3">
      <c r="A81" s="20"/>
      <c r="B81" s="20"/>
      <c r="C81" s="20"/>
      <c r="D81" s="20"/>
      <c r="E81" s="20"/>
      <c r="F81" s="21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4.25" customHeight="1" x14ac:dyDescent="0.3">
      <c r="A82" s="20"/>
      <c r="B82" s="20"/>
      <c r="C82" s="20"/>
      <c r="D82" s="20"/>
      <c r="E82" s="20"/>
      <c r="F82" s="21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4.25" customHeight="1" x14ac:dyDescent="0.3">
      <c r="A83" s="20"/>
      <c r="B83" s="20"/>
      <c r="C83" s="20"/>
      <c r="D83" s="20"/>
      <c r="E83" s="20"/>
      <c r="F83" s="2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4.25" customHeight="1" x14ac:dyDescent="0.3">
      <c r="A84" s="20"/>
      <c r="B84" s="20"/>
      <c r="C84" s="20"/>
      <c r="D84" s="20"/>
      <c r="E84" s="20"/>
      <c r="F84" s="2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4.25" customHeight="1" x14ac:dyDescent="0.3">
      <c r="A85" s="20"/>
      <c r="B85" s="20"/>
      <c r="C85" s="20"/>
      <c r="D85" s="20"/>
      <c r="E85" s="20"/>
      <c r="F85" s="2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4.25" customHeight="1" x14ac:dyDescent="0.3">
      <c r="A86" s="20"/>
      <c r="B86" s="20"/>
      <c r="C86" s="20"/>
      <c r="D86" s="20"/>
      <c r="E86" s="20"/>
      <c r="F86" s="2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4.25" customHeight="1" x14ac:dyDescent="0.3">
      <c r="A87" s="20"/>
      <c r="B87" s="20"/>
      <c r="C87" s="20"/>
      <c r="D87" s="20"/>
      <c r="E87" s="20"/>
      <c r="F87" s="2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4.25" customHeight="1" x14ac:dyDescent="0.3">
      <c r="A88" s="20"/>
      <c r="B88" s="20"/>
      <c r="C88" s="20"/>
      <c r="D88" s="20"/>
      <c r="E88" s="20"/>
      <c r="F88" s="2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4.25" customHeight="1" x14ac:dyDescent="0.3">
      <c r="A89" s="20"/>
      <c r="B89" s="20"/>
      <c r="C89" s="20"/>
      <c r="D89" s="20"/>
      <c r="E89" s="20"/>
      <c r="F89" s="2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4.25" customHeight="1" x14ac:dyDescent="0.3">
      <c r="A90" s="20"/>
      <c r="B90" s="20"/>
      <c r="C90" s="20"/>
      <c r="D90" s="20"/>
      <c r="E90" s="20"/>
      <c r="F90" s="2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4.25" customHeight="1" x14ac:dyDescent="0.3">
      <c r="A91" s="20"/>
      <c r="B91" s="20"/>
      <c r="C91" s="20"/>
      <c r="D91" s="20"/>
      <c r="E91" s="20"/>
      <c r="F91" s="2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4.25" customHeight="1" x14ac:dyDescent="0.3">
      <c r="A92" s="20"/>
      <c r="B92" s="20"/>
      <c r="C92" s="20"/>
      <c r="D92" s="20"/>
      <c r="E92" s="20"/>
      <c r="F92" s="2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4.25" customHeight="1" x14ac:dyDescent="0.3">
      <c r="A93" s="20"/>
      <c r="B93" s="20"/>
      <c r="C93" s="20"/>
      <c r="D93" s="20"/>
      <c r="E93" s="20"/>
      <c r="F93" s="2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4.25" customHeight="1" x14ac:dyDescent="0.3">
      <c r="A94" s="20"/>
      <c r="B94" s="20"/>
      <c r="C94" s="20"/>
      <c r="D94" s="20"/>
      <c r="E94" s="20"/>
      <c r="F94" s="2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4.25" customHeight="1" x14ac:dyDescent="0.3">
      <c r="A95" s="20"/>
      <c r="B95" s="20"/>
      <c r="C95" s="20"/>
      <c r="D95" s="20"/>
      <c r="E95" s="20"/>
      <c r="F95" s="2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4.25" customHeight="1" x14ac:dyDescent="0.3">
      <c r="A96" s="20"/>
      <c r="B96" s="20"/>
      <c r="C96" s="20"/>
      <c r="D96" s="20"/>
      <c r="E96" s="20"/>
      <c r="F96" s="2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4.25" customHeight="1" x14ac:dyDescent="0.3">
      <c r="A97" s="20"/>
      <c r="B97" s="20"/>
      <c r="C97" s="20"/>
      <c r="D97" s="20"/>
      <c r="E97" s="20"/>
      <c r="F97" s="2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4.25" customHeight="1" x14ac:dyDescent="0.3">
      <c r="A98" s="20"/>
      <c r="B98" s="20"/>
      <c r="C98" s="20"/>
      <c r="D98" s="20"/>
      <c r="E98" s="20"/>
      <c r="F98" s="2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4.25" customHeight="1" x14ac:dyDescent="0.3">
      <c r="A99" s="20"/>
      <c r="B99" s="20"/>
      <c r="C99" s="20"/>
      <c r="D99" s="20"/>
      <c r="E99" s="20"/>
      <c r="F99" s="2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4.25" customHeight="1" x14ac:dyDescent="0.3">
      <c r="A100" s="20"/>
      <c r="B100" s="20"/>
      <c r="C100" s="20"/>
      <c r="D100" s="20"/>
      <c r="E100" s="20"/>
      <c r="F100" s="2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4.25" customHeight="1" x14ac:dyDescent="0.3">
      <c r="A101" s="20"/>
      <c r="B101" s="20"/>
      <c r="C101" s="20"/>
      <c r="D101" s="20"/>
      <c r="E101" s="20"/>
      <c r="F101" s="2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4.25" customHeight="1" x14ac:dyDescent="0.3">
      <c r="A102" s="20"/>
      <c r="B102" s="20"/>
      <c r="C102" s="20"/>
      <c r="D102" s="20"/>
      <c r="E102" s="20"/>
      <c r="F102" s="2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4.25" customHeight="1" x14ac:dyDescent="0.3">
      <c r="A103" s="20"/>
      <c r="B103" s="20"/>
      <c r="C103" s="20"/>
      <c r="D103" s="20"/>
      <c r="E103" s="20"/>
      <c r="F103" s="2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4.25" customHeight="1" x14ac:dyDescent="0.3">
      <c r="A104" s="20"/>
      <c r="B104" s="20"/>
      <c r="C104" s="20"/>
      <c r="D104" s="20"/>
      <c r="E104" s="20"/>
      <c r="F104" s="2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4.25" customHeight="1" x14ac:dyDescent="0.3">
      <c r="A105" s="20"/>
      <c r="B105" s="20"/>
      <c r="C105" s="20"/>
      <c r="D105" s="20"/>
      <c r="E105" s="20"/>
      <c r="F105" s="2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4.25" customHeight="1" x14ac:dyDescent="0.3">
      <c r="A106" s="20"/>
      <c r="B106" s="20"/>
      <c r="C106" s="20"/>
      <c r="D106" s="20"/>
      <c r="E106" s="20"/>
      <c r="F106" s="2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4.25" customHeight="1" x14ac:dyDescent="0.3">
      <c r="A107" s="20"/>
      <c r="B107" s="20"/>
      <c r="C107" s="20"/>
      <c r="D107" s="20"/>
      <c r="E107" s="20"/>
      <c r="F107" s="2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4.25" customHeight="1" x14ac:dyDescent="0.3">
      <c r="A108" s="20"/>
      <c r="B108" s="20"/>
      <c r="C108" s="20"/>
      <c r="D108" s="20"/>
      <c r="E108" s="20"/>
      <c r="F108" s="2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4.25" customHeight="1" x14ac:dyDescent="0.3">
      <c r="A109" s="20"/>
      <c r="B109" s="20"/>
      <c r="C109" s="20"/>
      <c r="D109" s="20"/>
      <c r="E109" s="20"/>
      <c r="F109" s="2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4.25" customHeight="1" x14ac:dyDescent="0.3">
      <c r="A110" s="20"/>
      <c r="B110" s="20"/>
      <c r="C110" s="20"/>
      <c r="D110" s="20"/>
      <c r="E110" s="20"/>
      <c r="F110" s="2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4.25" customHeight="1" x14ac:dyDescent="0.3">
      <c r="A111" s="20"/>
      <c r="B111" s="20"/>
      <c r="C111" s="20"/>
      <c r="D111" s="20"/>
      <c r="E111" s="20"/>
      <c r="F111" s="2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4.25" customHeight="1" x14ac:dyDescent="0.3">
      <c r="A112" s="20"/>
      <c r="B112" s="20"/>
      <c r="C112" s="20"/>
      <c r="D112" s="20"/>
      <c r="E112" s="20"/>
      <c r="F112" s="2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4.25" customHeight="1" x14ac:dyDescent="0.3">
      <c r="A113" s="20"/>
      <c r="B113" s="20"/>
      <c r="C113" s="20"/>
      <c r="D113" s="20"/>
      <c r="E113" s="20"/>
      <c r="F113" s="2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4.25" customHeight="1" x14ac:dyDescent="0.3">
      <c r="A114" s="20"/>
      <c r="B114" s="20"/>
      <c r="C114" s="20"/>
      <c r="D114" s="20"/>
      <c r="E114" s="20"/>
      <c r="F114" s="2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4.25" customHeight="1" x14ac:dyDescent="0.3">
      <c r="A115" s="20"/>
      <c r="B115" s="20"/>
      <c r="C115" s="20"/>
      <c r="D115" s="20"/>
      <c r="E115" s="20"/>
      <c r="F115" s="2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4.25" customHeight="1" x14ac:dyDescent="0.3">
      <c r="A116" s="20"/>
      <c r="B116" s="20"/>
      <c r="C116" s="20"/>
      <c r="D116" s="20"/>
      <c r="E116" s="20"/>
      <c r="F116" s="2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4.25" customHeight="1" x14ac:dyDescent="0.3">
      <c r="A117" s="20"/>
      <c r="B117" s="20"/>
      <c r="C117" s="20"/>
      <c r="D117" s="20"/>
      <c r="E117" s="20"/>
      <c r="F117" s="2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4.25" customHeight="1" x14ac:dyDescent="0.3">
      <c r="A118" s="20"/>
      <c r="B118" s="20"/>
      <c r="C118" s="20"/>
      <c r="D118" s="20"/>
      <c r="E118" s="20"/>
      <c r="F118" s="2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4.25" customHeight="1" x14ac:dyDescent="0.3">
      <c r="A119" s="20"/>
      <c r="B119" s="20"/>
      <c r="C119" s="20"/>
      <c r="D119" s="20"/>
      <c r="E119" s="20"/>
      <c r="F119" s="2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4.25" customHeight="1" x14ac:dyDescent="0.3">
      <c r="A120" s="20"/>
      <c r="B120" s="20"/>
      <c r="C120" s="20"/>
      <c r="D120" s="20"/>
      <c r="E120" s="20"/>
      <c r="F120" s="2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4.25" customHeight="1" x14ac:dyDescent="0.3">
      <c r="A121" s="20"/>
      <c r="B121" s="20"/>
      <c r="C121" s="20"/>
      <c r="D121" s="20"/>
      <c r="E121" s="20"/>
      <c r="F121" s="2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4.25" customHeight="1" x14ac:dyDescent="0.3">
      <c r="A122" s="20"/>
      <c r="B122" s="20"/>
      <c r="C122" s="20"/>
      <c r="D122" s="20"/>
      <c r="E122" s="20"/>
      <c r="F122" s="2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4.25" customHeight="1" x14ac:dyDescent="0.3">
      <c r="A123" s="20"/>
      <c r="B123" s="20"/>
      <c r="C123" s="20"/>
      <c r="D123" s="20"/>
      <c r="E123" s="20"/>
      <c r="F123" s="2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4.25" customHeight="1" x14ac:dyDescent="0.3">
      <c r="A124" s="20"/>
      <c r="B124" s="20"/>
      <c r="C124" s="20"/>
      <c r="D124" s="20"/>
      <c r="E124" s="20"/>
      <c r="F124" s="2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4.25" customHeight="1" x14ac:dyDescent="0.3">
      <c r="A125" s="20"/>
      <c r="B125" s="20"/>
      <c r="C125" s="20"/>
      <c r="D125" s="20"/>
      <c r="E125" s="20"/>
      <c r="F125" s="2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4.25" customHeight="1" x14ac:dyDescent="0.3">
      <c r="A126" s="20"/>
      <c r="B126" s="20"/>
      <c r="C126" s="20"/>
      <c r="D126" s="20"/>
      <c r="E126" s="20"/>
      <c r="F126" s="2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4.25" customHeight="1" x14ac:dyDescent="0.3">
      <c r="A127" s="20"/>
      <c r="B127" s="20"/>
      <c r="C127" s="20"/>
      <c r="D127" s="20"/>
      <c r="E127" s="20"/>
      <c r="F127" s="2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4.25" customHeight="1" x14ac:dyDescent="0.3">
      <c r="A128" s="20"/>
      <c r="B128" s="20"/>
      <c r="C128" s="20"/>
      <c r="D128" s="20"/>
      <c r="E128" s="20"/>
      <c r="F128" s="2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4.25" customHeight="1" x14ac:dyDescent="0.3">
      <c r="A129" s="20"/>
      <c r="B129" s="20"/>
      <c r="C129" s="20"/>
      <c r="D129" s="20"/>
      <c r="E129" s="20"/>
      <c r="F129" s="2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4.25" customHeight="1" x14ac:dyDescent="0.3">
      <c r="A130" s="20"/>
      <c r="B130" s="20"/>
      <c r="C130" s="20"/>
      <c r="D130" s="20"/>
      <c r="E130" s="20"/>
      <c r="F130" s="2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4.25" customHeight="1" x14ac:dyDescent="0.3">
      <c r="A131" s="20"/>
      <c r="B131" s="20"/>
      <c r="C131" s="20"/>
      <c r="D131" s="20"/>
      <c r="E131" s="20"/>
      <c r="F131" s="2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4.25" customHeight="1" x14ac:dyDescent="0.3">
      <c r="A132" s="20"/>
      <c r="B132" s="20"/>
      <c r="C132" s="20"/>
      <c r="D132" s="20"/>
      <c r="E132" s="20"/>
      <c r="F132" s="2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4.25" customHeight="1" x14ac:dyDescent="0.3">
      <c r="A133" s="20"/>
      <c r="B133" s="20"/>
      <c r="C133" s="20"/>
      <c r="D133" s="20"/>
      <c r="E133" s="20"/>
      <c r="F133" s="2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4.25" customHeight="1" x14ac:dyDescent="0.3">
      <c r="A134" s="20"/>
      <c r="B134" s="20"/>
      <c r="C134" s="20"/>
      <c r="D134" s="20"/>
      <c r="E134" s="20"/>
      <c r="F134" s="2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4.25" customHeight="1" x14ac:dyDescent="0.3">
      <c r="A135" s="20"/>
      <c r="B135" s="20"/>
      <c r="C135" s="20"/>
      <c r="D135" s="20"/>
      <c r="E135" s="20"/>
      <c r="F135" s="2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4.25" customHeight="1" x14ac:dyDescent="0.3">
      <c r="A136" s="20"/>
      <c r="B136" s="20"/>
      <c r="C136" s="20"/>
      <c r="D136" s="20"/>
      <c r="E136" s="20"/>
      <c r="F136" s="2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4.25" customHeight="1" x14ac:dyDescent="0.3">
      <c r="A137" s="20"/>
      <c r="B137" s="20"/>
      <c r="C137" s="20"/>
      <c r="D137" s="20"/>
      <c r="E137" s="20"/>
      <c r="F137" s="2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4.25" customHeight="1" x14ac:dyDescent="0.3">
      <c r="A138" s="20"/>
      <c r="B138" s="20"/>
      <c r="C138" s="20"/>
      <c r="D138" s="20"/>
      <c r="E138" s="20"/>
      <c r="F138" s="2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4.25" customHeight="1" x14ac:dyDescent="0.3">
      <c r="A139" s="20"/>
      <c r="B139" s="20"/>
      <c r="C139" s="20"/>
      <c r="D139" s="20"/>
      <c r="E139" s="20"/>
      <c r="F139" s="2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4.25" customHeight="1" x14ac:dyDescent="0.3">
      <c r="A140" s="20"/>
      <c r="B140" s="20"/>
      <c r="C140" s="20"/>
      <c r="D140" s="20"/>
      <c r="E140" s="20"/>
      <c r="F140" s="2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4.25" customHeight="1" x14ac:dyDescent="0.3">
      <c r="A141" s="20"/>
      <c r="B141" s="20"/>
      <c r="C141" s="20"/>
      <c r="D141" s="20"/>
      <c r="E141" s="20"/>
      <c r="F141" s="2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4.25" customHeight="1" x14ac:dyDescent="0.3">
      <c r="A142" s="20"/>
      <c r="B142" s="20"/>
      <c r="C142" s="20"/>
      <c r="D142" s="20"/>
      <c r="E142" s="20"/>
      <c r="F142" s="2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4.25" customHeight="1" x14ac:dyDescent="0.3">
      <c r="A143" s="20"/>
      <c r="B143" s="20"/>
      <c r="C143" s="20"/>
      <c r="D143" s="20"/>
      <c r="E143" s="20"/>
      <c r="F143" s="2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4.25" customHeight="1" x14ac:dyDescent="0.3">
      <c r="A144" s="20"/>
      <c r="B144" s="20"/>
      <c r="C144" s="20"/>
      <c r="D144" s="20"/>
      <c r="E144" s="20"/>
      <c r="F144" s="2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4.25" customHeight="1" x14ac:dyDescent="0.3">
      <c r="A145" s="20"/>
      <c r="B145" s="20"/>
      <c r="C145" s="20"/>
      <c r="D145" s="20"/>
      <c r="E145" s="20"/>
      <c r="F145" s="2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4.25" customHeight="1" x14ac:dyDescent="0.3">
      <c r="A146" s="20"/>
      <c r="B146" s="20"/>
      <c r="C146" s="20"/>
      <c r="D146" s="20"/>
      <c r="E146" s="20"/>
      <c r="F146" s="2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4.25" customHeight="1" x14ac:dyDescent="0.3">
      <c r="A147" s="20"/>
      <c r="B147" s="20"/>
      <c r="C147" s="20"/>
      <c r="D147" s="20"/>
      <c r="E147" s="20"/>
      <c r="F147" s="2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4.25" customHeight="1" x14ac:dyDescent="0.3">
      <c r="A148" s="20"/>
      <c r="B148" s="20"/>
      <c r="C148" s="20"/>
      <c r="D148" s="20"/>
      <c r="E148" s="20"/>
      <c r="F148" s="2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4.25" customHeight="1" x14ac:dyDescent="0.3">
      <c r="A149" s="20"/>
      <c r="B149" s="20"/>
      <c r="C149" s="20"/>
      <c r="D149" s="20"/>
      <c r="E149" s="20"/>
      <c r="F149" s="2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4.25" customHeight="1" x14ac:dyDescent="0.3">
      <c r="A150" s="20"/>
      <c r="B150" s="20"/>
      <c r="C150" s="20"/>
      <c r="D150" s="20"/>
      <c r="E150" s="20"/>
      <c r="F150" s="2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4.25" customHeight="1" x14ac:dyDescent="0.3">
      <c r="A151" s="20"/>
      <c r="B151" s="20"/>
      <c r="C151" s="20"/>
      <c r="D151" s="20"/>
      <c r="E151" s="20"/>
      <c r="F151" s="2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4.25" customHeight="1" x14ac:dyDescent="0.3">
      <c r="A152" s="20"/>
      <c r="B152" s="20"/>
      <c r="C152" s="20"/>
      <c r="D152" s="20"/>
      <c r="E152" s="20"/>
      <c r="F152" s="2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4.25" customHeight="1" x14ac:dyDescent="0.3">
      <c r="A153" s="20"/>
      <c r="B153" s="20"/>
      <c r="C153" s="20"/>
      <c r="D153" s="20"/>
      <c r="E153" s="20"/>
      <c r="F153" s="2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4.25" customHeight="1" x14ac:dyDescent="0.3">
      <c r="A154" s="20"/>
      <c r="B154" s="20"/>
      <c r="C154" s="20"/>
      <c r="D154" s="20"/>
      <c r="E154" s="20"/>
      <c r="F154" s="2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4.25" customHeight="1" x14ac:dyDescent="0.3">
      <c r="A155" s="20"/>
      <c r="B155" s="20"/>
      <c r="C155" s="20"/>
      <c r="D155" s="20"/>
      <c r="E155" s="20"/>
      <c r="F155" s="2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4.25" customHeight="1" x14ac:dyDescent="0.3">
      <c r="A156" s="20"/>
      <c r="B156" s="20"/>
      <c r="C156" s="20"/>
      <c r="D156" s="20"/>
      <c r="E156" s="20"/>
      <c r="F156" s="2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4.25" customHeight="1" x14ac:dyDescent="0.3">
      <c r="A157" s="20"/>
      <c r="B157" s="20"/>
      <c r="C157" s="20"/>
      <c r="D157" s="20"/>
      <c r="E157" s="20"/>
      <c r="F157" s="2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4.25" customHeight="1" x14ac:dyDescent="0.3">
      <c r="A158" s="20"/>
      <c r="B158" s="20"/>
      <c r="C158" s="20"/>
      <c r="D158" s="20"/>
      <c r="E158" s="20"/>
      <c r="F158" s="2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4.25" customHeight="1" x14ac:dyDescent="0.3">
      <c r="A159" s="20"/>
      <c r="B159" s="20"/>
      <c r="C159" s="20"/>
      <c r="D159" s="20"/>
      <c r="E159" s="20"/>
      <c r="F159" s="2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4.25" customHeight="1" x14ac:dyDescent="0.3">
      <c r="A160" s="20"/>
      <c r="B160" s="20"/>
      <c r="C160" s="20"/>
      <c r="D160" s="20"/>
      <c r="E160" s="20"/>
      <c r="F160" s="2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4.25" customHeight="1" x14ac:dyDescent="0.3">
      <c r="A161" s="20"/>
      <c r="B161" s="20"/>
      <c r="C161" s="20"/>
      <c r="D161" s="20"/>
      <c r="E161" s="20"/>
      <c r="F161" s="2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4.25" customHeight="1" x14ac:dyDescent="0.3">
      <c r="A162" s="20"/>
      <c r="B162" s="20"/>
      <c r="C162" s="20"/>
      <c r="D162" s="20"/>
      <c r="E162" s="20"/>
      <c r="F162" s="2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4.25" customHeight="1" x14ac:dyDescent="0.3">
      <c r="A163" s="20"/>
      <c r="B163" s="20"/>
      <c r="C163" s="20"/>
      <c r="D163" s="20"/>
      <c r="E163" s="20"/>
      <c r="F163" s="2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4.25" customHeight="1" x14ac:dyDescent="0.3">
      <c r="A164" s="20"/>
      <c r="B164" s="20"/>
      <c r="C164" s="20"/>
      <c r="D164" s="20"/>
      <c r="E164" s="20"/>
      <c r="F164" s="2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4.25" customHeight="1" x14ac:dyDescent="0.3">
      <c r="A165" s="20"/>
      <c r="B165" s="20"/>
      <c r="C165" s="20"/>
      <c r="D165" s="20"/>
      <c r="E165" s="20"/>
      <c r="F165" s="2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4.25" customHeight="1" x14ac:dyDescent="0.3">
      <c r="A166" s="20"/>
      <c r="B166" s="20"/>
      <c r="C166" s="20"/>
      <c r="D166" s="20"/>
      <c r="E166" s="20"/>
      <c r="F166" s="2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4.25" customHeight="1" x14ac:dyDescent="0.3">
      <c r="A167" s="20"/>
      <c r="B167" s="20"/>
      <c r="C167" s="20"/>
      <c r="D167" s="20"/>
      <c r="E167" s="20"/>
      <c r="F167" s="2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4.25" customHeight="1" x14ac:dyDescent="0.3">
      <c r="A168" s="20"/>
      <c r="B168" s="20"/>
      <c r="C168" s="20"/>
      <c r="D168" s="20"/>
      <c r="E168" s="20"/>
      <c r="F168" s="2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4.25" customHeight="1" x14ac:dyDescent="0.3">
      <c r="A169" s="20"/>
      <c r="B169" s="20"/>
      <c r="C169" s="20"/>
      <c r="D169" s="20"/>
      <c r="E169" s="20"/>
      <c r="F169" s="2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4.25" customHeight="1" x14ac:dyDescent="0.3">
      <c r="A170" s="20"/>
      <c r="B170" s="20"/>
      <c r="C170" s="20"/>
      <c r="D170" s="20"/>
      <c r="E170" s="20"/>
      <c r="F170" s="2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4.25" customHeight="1" x14ac:dyDescent="0.3">
      <c r="A171" s="20"/>
      <c r="B171" s="20"/>
      <c r="C171" s="20"/>
      <c r="D171" s="20"/>
      <c r="E171" s="20"/>
      <c r="F171" s="2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4.25" customHeight="1" x14ac:dyDescent="0.3">
      <c r="A172" s="20"/>
      <c r="B172" s="20"/>
      <c r="C172" s="20"/>
      <c r="D172" s="20"/>
      <c r="E172" s="20"/>
      <c r="F172" s="2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4.25" customHeight="1" x14ac:dyDescent="0.3">
      <c r="A173" s="20"/>
      <c r="B173" s="20"/>
      <c r="C173" s="20"/>
      <c r="D173" s="20"/>
      <c r="E173" s="20"/>
      <c r="F173" s="2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4.25" customHeight="1" x14ac:dyDescent="0.3">
      <c r="A174" s="20"/>
      <c r="B174" s="20"/>
      <c r="C174" s="20"/>
      <c r="D174" s="20"/>
      <c r="E174" s="20"/>
      <c r="F174" s="2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4.25" customHeight="1" x14ac:dyDescent="0.3">
      <c r="A175" s="20"/>
      <c r="B175" s="20"/>
      <c r="C175" s="20"/>
      <c r="D175" s="20"/>
      <c r="E175" s="20"/>
      <c r="F175" s="2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4.25" customHeight="1" x14ac:dyDescent="0.3">
      <c r="A176" s="20"/>
      <c r="B176" s="20"/>
      <c r="C176" s="20"/>
      <c r="D176" s="20"/>
      <c r="E176" s="20"/>
      <c r="F176" s="2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4.25" customHeight="1" x14ac:dyDescent="0.3">
      <c r="A177" s="20"/>
      <c r="B177" s="20"/>
      <c r="C177" s="20"/>
      <c r="D177" s="20"/>
      <c r="E177" s="20"/>
      <c r="F177" s="2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4.25" customHeight="1" x14ac:dyDescent="0.3">
      <c r="A178" s="20"/>
      <c r="B178" s="20"/>
      <c r="C178" s="20"/>
      <c r="D178" s="20"/>
      <c r="E178" s="20"/>
      <c r="F178" s="2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4.25" customHeight="1" x14ac:dyDescent="0.3">
      <c r="A179" s="20"/>
      <c r="B179" s="20"/>
      <c r="C179" s="20"/>
      <c r="D179" s="20"/>
      <c r="E179" s="20"/>
      <c r="F179" s="2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4.25" customHeight="1" x14ac:dyDescent="0.3">
      <c r="A180" s="20"/>
      <c r="B180" s="20"/>
      <c r="C180" s="20"/>
      <c r="D180" s="20"/>
      <c r="E180" s="20"/>
      <c r="F180" s="2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4.25" customHeight="1" x14ac:dyDescent="0.3">
      <c r="A181" s="20"/>
      <c r="B181" s="20"/>
      <c r="C181" s="20"/>
      <c r="D181" s="20"/>
      <c r="E181" s="20"/>
      <c r="F181" s="2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4.25" customHeight="1" x14ac:dyDescent="0.3">
      <c r="A182" s="20"/>
      <c r="B182" s="20"/>
      <c r="C182" s="20"/>
      <c r="D182" s="20"/>
      <c r="E182" s="20"/>
      <c r="F182" s="2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4.25" customHeight="1" x14ac:dyDescent="0.3">
      <c r="A183" s="20"/>
      <c r="B183" s="20"/>
      <c r="C183" s="20"/>
      <c r="D183" s="20"/>
      <c r="E183" s="20"/>
      <c r="F183" s="2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4.25" customHeight="1" x14ac:dyDescent="0.3">
      <c r="A184" s="20"/>
      <c r="B184" s="20"/>
      <c r="C184" s="20"/>
      <c r="D184" s="20"/>
      <c r="E184" s="20"/>
      <c r="F184" s="2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4.25" customHeight="1" x14ac:dyDescent="0.3">
      <c r="A185" s="20"/>
      <c r="B185" s="20"/>
      <c r="C185" s="20"/>
      <c r="D185" s="20"/>
      <c r="E185" s="20"/>
      <c r="F185" s="2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4.25" customHeight="1" x14ac:dyDescent="0.3">
      <c r="A186" s="20"/>
      <c r="B186" s="20"/>
      <c r="C186" s="20"/>
      <c r="D186" s="20"/>
      <c r="E186" s="20"/>
      <c r="F186" s="2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4.25" customHeight="1" x14ac:dyDescent="0.3">
      <c r="A187" s="20"/>
      <c r="B187" s="20"/>
      <c r="C187" s="20"/>
      <c r="D187" s="20"/>
      <c r="E187" s="20"/>
      <c r="F187" s="2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4.25" customHeight="1" x14ac:dyDescent="0.3">
      <c r="A188" s="20"/>
      <c r="B188" s="20"/>
      <c r="C188" s="20"/>
      <c r="D188" s="20"/>
      <c r="E188" s="20"/>
      <c r="F188" s="2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4.25" customHeight="1" x14ac:dyDescent="0.3">
      <c r="A189" s="20"/>
      <c r="B189" s="20"/>
      <c r="C189" s="20"/>
      <c r="D189" s="20"/>
      <c r="E189" s="20"/>
      <c r="F189" s="2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4.25" customHeight="1" x14ac:dyDescent="0.3">
      <c r="A190" s="20"/>
      <c r="B190" s="20"/>
      <c r="C190" s="20"/>
      <c r="D190" s="20"/>
      <c r="E190" s="20"/>
      <c r="F190" s="2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4.25" customHeight="1" x14ac:dyDescent="0.3">
      <c r="A191" s="20"/>
      <c r="B191" s="20"/>
      <c r="C191" s="20"/>
      <c r="D191" s="20"/>
      <c r="E191" s="20"/>
      <c r="F191" s="2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4.25" customHeight="1" x14ac:dyDescent="0.3">
      <c r="A192" s="20"/>
      <c r="B192" s="20"/>
      <c r="C192" s="20"/>
      <c r="D192" s="20"/>
      <c r="E192" s="20"/>
      <c r="F192" s="2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4.25" customHeight="1" x14ac:dyDescent="0.3">
      <c r="A193" s="20"/>
      <c r="B193" s="20"/>
      <c r="C193" s="20"/>
      <c r="D193" s="20"/>
      <c r="E193" s="20"/>
      <c r="F193" s="2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4.25" customHeight="1" x14ac:dyDescent="0.3">
      <c r="A194" s="20"/>
      <c r="B194" s="20"/>
      <c r="C194" s="20"/>
      <c r="D194" s="20"/>
      <c r="E194" s="20"/>
      <c r="F194" s="2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4.25" customHeight="1" x14ac:dyDescent="0.3">
      <c r="A195" s="20"/>
      <c r="B195" s="20"/>
      <c r="C195" s="20"/>
      <c r="D195" s="20"/>
      <c r="E195" s="20"/>
      <c r="F195" s="2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4.25" customHeight="1" x14ac:dyDescent="0.3">
      <c r="A196" s="20"/>
      <c r="B196" s="20"/>
      <c r="C196" s="20"/>
      <c r="D196" s="20"/>
      <c r="E196" s="20"/>
      <c r="F196" s="2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4.25" customHeight="1" x14ac:dyDescent="0.3">
      <c r="A197" s="20"/>
      <c r="B197" s="20"/>
      <c r="C197" s="20"/>
      <c r="D197" s="20"/>
      <c r="E197" s="20"/>
      <c r="F197" s="2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4.25" customHeight="1" x14ac:dyDescent="0.3">
      <c r="A198" s="20"/>
      <c r="B198" s="20"/>
      <c r="C198" s="20"/>
      <c r="D198" s="20"/>
      <c r="E198" s="20"/>
      <c r="F198" s="2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4.25" customHeight="1" x14ac:dyDescent="0.3">
      <c r="A199" s="20"/>
      <c r="B199" s="20"/>
      <c r="C199" s="20"/>
      <c r="D199" s="20"/>
      <c r="E199" s="20"/>
      <c r="F199" s="2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4.25" customHeight="1" x14ac:dyDescent="0.3">
      <c r="A200" s="20"/>
      <c r="B200" s="20"/>
      <c r="C200" s="20"/>
      <c r="D200" s="20"/>
      <c r="E200" s="20"/>
      <c r="F200" s="2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4.25" customHeight="1" x14ac:dyDescent="0.3">
      <c r="A201" s="20"/>
      <c r="B201" s="20"/>
      <c r="C201" s="20"/>
      <c r="D201" s="20"/>
      <c r="E201" s="20"/>
      <c r="F201" s="2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4.25" customHeight="1" x14ac:dyDescent="0.3">
      <c r="A202" s="20"/>
      <c r="B202" s="20"/>
      <c r="C202" s="20"/>
      <c r="D202" s="20"/>
      <c r="E202" s="20"/>
      <c r="F202" s="2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4.25" customHeight="1" x14ac:dyDescent="0.3">
      <c r="A203" s="20"/>
      <c r="B203" s="20"/>
      <c r="C203" s="20"/>
      <c r="D203" s="20"/>
      <c r="E203" s="20"/>
      <c r="F203" s="2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4.25" customHeight="1" x14ac:dyDescent="0.3">
      <c r="A204" s="20"/>
      <c r="B204" s="20"/>
      <c r="C204" s="20"/>
      <c r="D204" s="20"/>
      <c r="E204" s="20"/>
      <c r="F204" s="2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4.25" customHeight="1" x14ac:dyDescent="0.3">
      <c r="A205" s="20"/>
      <c r="B205" s="20"/>
      <c r="C205" s="20"/>
      <c r="D205" s="20"/>
      <c r="E205" s="20"/>
      <c r="F205" s="2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4.25" customHeight="1" x14ac:dyDescent="0.3">
      <c r="A206" s="20"/>
      <c r="B206" s="20"/>
      <c r="C206" s="20"/>
      <c r="D206" s="20"/>
      <c r="E206" s="20"/>
      <c r="F206" s="2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4.25" customHeight="1" x14ac:dyDescent="0.3">
      <c r="A207" s="20"/>
      <c r="B207" s="20"/>
      <c r="C207" s="20"/>
      <c r="D207" s="20"/>
      <c r="E207" s="20"/>
      <c r="F207" s="2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4.25" customHeight="1" x14ac:dyDescent="0.3">
      <c r="A208" s="20"/>
      <c r="B208" s="20"/>
      <c r="C208" s="20"/>
      <c r="D208" s="20"/>
      <c r="E208" s="20"/>
      <c r="F208" s="2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4.25" customHeight="1" x14ac:dyDescent="0.3">
      <c r="A209" s="20"/>
      <c r="B209" s="20"/>
      <c r="C209" s="20"/>
      <c r="D209" s="20"/>
      <c r="E209" s="20"/>
      <c r="F209" s="2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4.25" customHeight="1" x14ac:dyDescent="0.3">
      <c r="A210" s="20"/>
      <c r="B210" s="20"/>
      <c r="C210" s="20"/>
      <c r="D210" s="20"/>
      <c r="E210" s="20"/>
      <c r="F210" s="2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4.25" customHeight="1" x14ac:dyDescent="0.3">
      <c r="A211" s="20"/>
      <c r="B211" s="20"/>
      <c r="C211" s="20"/>
      <c r="D211" s="20"/>
      <c r="E211" s="20"/>
      <c r="F211" s="2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4.25" customHeight="1" x14ac:dyDescent="0.3">
      <c r="A212" s="20"/>
      <c r="B212" s="20"/>
      <c r="C212" s="20"/>
      <c r="D212" s="20"/>
      <c r="E212" s="20"/>
      <c r="F212" s="2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4.25" customHeight="1" x14ac:dyDescent="0.3">
      <c r="A213" s="20"/>
      <c r="B213" s="20"/>
      <c r="C213" s="20"/>
      <c r="D213" s="20"/>
      <c r="E213" s="20"/>
      <c r="F213" s="2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4.25" customHeight="1" x14ac:dyDescent="0.3">
      <c r="A214" s="20"/>
      <c r="B214" s="20"/>
      <c r="C214" s="20"/>
      <c r="D214" s="20"/>
      <c r="E214" s="20"/>
      <c r="F214" s="2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4.25" customHeight="1" x14ac:dyDescent="0.3">
      <c r="A215" s="20"/>
      <c r="B215" s="20"/>
      <c r="C215" s="20"/>
      <c r="D215" s="20"/>
      <c r="E215" s="20"/>
      <c r="F215" s="2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4.25" customHeight="1" x14ac:dyDescent="0.3">
      <c r="A216" s="20"/>
      <c r="B216" s="20"/>
      <c r="C216" s="20"/>
      <c r="D216" s="20"/>
      <c r="E216" s="20"/>
      <c r="F216" s="2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4.25" customHeight="1" x14ac:dyDescent="0.3">
      <c r="A217" s="20"/>
      <c r="B217" s="20"/>
      <c r="C217" s="20"/>
      <c r="D217" s="20"/>
      <c r="E217" s="20"/>
      <c r="F217" s="2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4.25" customHeight="1" x14ac:dyDescent="0.3">
      <c r="A218" s="20"/>
      <c r="B218" s="20"/>
      <c r="C218" s="20"/>
      <c r="D218" s="20"/>
      <c r="E218" s="20"/>
      <c r="F218" s="2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4.25" customHeight="1" x14ac:dyDescent="0.3">
      <c r="A219" s="20"/>
      <c r="B219" s="20"/>
      <c r="C219" s="20"/>
      <c r="D219" s="20"/>
      <c r="E219" s="20"/>
      <c r="F219" s="2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4.25" customHeight="1" x14ac:dyDescent="0.3">
      <c r="A220" s="20"/>
      <c r="B220" s="20"/>
      <c r="C220" s="20"/>
      <c r="D220" s="20"/>
      <c r="E220" s="20"/>
      <c r="F220" s="2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4.25" customHeight="1" x14ac:dyDescent="0.3">
      <c r="A221" s="20"/>
      <c r="B221" s="20"/>
      <c r="C221" s="20"/>
      <c r="D221" s="20"/>
      <c r="E221" s="20"/>
      <c r="F221" s="2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4.25" customHeight="1" x14ac:dyDescent="0.3">
      <c r="A222" s="20"/>
      <c r="B222" s="20"/>
      <c r="C222" s="20"/>
      <c r="D222" s="20"/>
      <c r="E222" s="20"/>
      <c r="F222" s="2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4.25" customHeight="1" x14ac:dyDescent="0.3">
      <c r="A223" s="20"/>
      <c r="B223" s="20"/>
      <c r="C223" s="20"/>
      <c r="D223" s="20"/>
      <c r="E223" s="20"/>
      <c r="F223" s="2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4.25" customHeight="1" x14ac:dyDescent="0.3">
      <c r="A224" s="20"/>
      <c r="B224" s="20"/>
      <c r="C224" s="20"/>
      <c r="D224" s="20"/>
      <c r="E224" s="20"/>
      <c r="F224" s="2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4.25" customHeight="1" x14ac:dyDescent="0.3">
      <c r="A225" s="20"/>
      <c r="B225" s="20"/>
      <c r="C225" s="20"/>
      <c r="D225" s="20"/>
      <c r="E225" s="20"/>
      <c r="F225" s="2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4.25" customHeight="1" x14ac:dyDescent="0.3">
      <c r="A226" s="20"/>
      <c r="B226" s="20"/>
      <c r="C226" s="20"/>
      <c r="D226" s="20"/>
      <c r="E226" s="20"/>
      <c r="F226" s="2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4.25" customHeight="1" x14ac:dyDescent="0.3">
      <c r="A227" s="20"/>
      <c r="B227" s="20"/>
      <c r="C227" s="20"/>
      <c r="D227" s="20"/>
      <c r="E227" s="20"/>
      <c r="F227" s="2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4.25" customHeight="1" x14ac:dyDescent="0.3">
      <c r="A228" s="20"/>
      <c r="B228" s="20"/>
      <c r="C228" s="20"/>
      <c r="D228" s="20"/>
      <c r="E228" s="20"/>
      <c r="F228" s="2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4.25" customHeight="1" x14ac:dyDescent="0.3">
      <c r="A229" s="20"/>
      <c r="B229" s="20"/>
      <c r="C229" s="20"/>
      <c r="D229" s="20"/>
      <c r="E229" s="20"/>
      <c r="F229" s="2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4.25" customHeight="1" x14ac:dyDescent="0.3">
      <c r="A230" s="20"/>
      <c r="B230" s="20"/>
      <c r="C230" s="20"/>
      <c r="D230" s="20"/>
      <c r="E230" s="20"/>
      <c r="F230" s="2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4.25" customHeight="1" x14ac:dyDescent="0.3">
      <c r="A231" s="20"/>
      <c r="B231" s="20"/>
      <c r="C231" s="20"/>
      <c r="D231" s="20"/>
      <c r="E231" s="20"/>
      <c r="F231" s="2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4.25" customHeight="1" x14ac:dyDescent="0.3">
      <c r="A232" s="20"/>
      <c r="B232" s="20"/>
      <c r="C232" s="20"/>
      <c r="D232" s="20"/>
      <c r="E232" s="20"/>
      <c r="F232" s="2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4.25" customHeight="1" x14ac:dyDescent="0.3">
      <c r="A233" s="20"/>
      <c r="B233" s="20"/>
      <c r="C233" s="20"/>
      <c r="D233" s="20"/>
      <c r="E233" s="20"/>
      <c r="F233" s="2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4.25" customHeight="1" x14ac:dyDescent="0.3">
      <c r="A234" s="20"/>
      <c r="B234" s="20"/>
      <c r="C234" s="20"/>
      <c r="D234" s="20"/>
      <c r="E234" s="20"/>
      <c r="F234" s="2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4.25" customHeight="1" x14ac:dyDescent="0.3">
      <c r="A235" s="20"/>
      <c r="B235" s="20"/>
      <c r="C235" s="20"/>
      <c r="D235" s="20"/>
      <c r="E235" s="20"/>
      <c r="F235" s="2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4.25" customHeight="1" x14ac:dyDescent="0.3">
      <c r="A236" s="20"/>
      <c r="B236" s="20"/>
      <c r="C236" s="20"/>
      <c r="D236" s="20"/>
      <c r="E236" s="20"/>
      <c r="F236" s="2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4.25" customHeight="1" x14ac:dyDescent="0.3">
      <c r="A237" s="20"/>
      <c r="B237" s="20"/>
      <c r="C237" s="20"/>
      <c r="D237" s="20"/>
      <c r="E237" s="20"/>
      <c r="F237" s="2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4.25" customHeight="1" x14ac:dyDescent="0.3">
      <c r="A238" s="20"/>
      <c r="B238" s="20"/>
      <c r="C238" s="20"/>
      <c r="D238" s="20"/>
      <c r="E238" s="20"/>
      <c r="F238" s="2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4.25" customHeight="1" x14ac:dyDescent="0.3">
      <c r="A239" s="20"/>
      <c r="B239" s="20"/>
      <c r="C239" s="20"/>
      <c r="D239" s="20"/>
      <c r="E239" s="20"/>
      <c r="F239" s="2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4.25" customHeight="1" x14ac:dyDescent="0.3">
      <c r="A240" s="20"/>
      <c r="B240" s="20"/>
      <c r="C240" s="20"/>
      <c r="D240" s="20"/>
      <c r="E240" s="20"/>
      <c r="F240" s="2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4.25" customHeight="1" x14ac:dyDescent="0.3">
      <c r="A241" s="20"/>
      <c r="B241" s="20"/>
      <c r="C241" s="20"/>
      <c r="D241" s="20"/>
      <c r="E241" s="20"/>
      <c r="F241" s="2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4.25" customHeight="1" x14ac:dyDescent="0.3">
      <c r="A242" s="20"/>
      <c r="B242" s="20"/>
      <c r="C242" s="20"/>
      <c r="D242" s="20"/>
      <c r="E242" s="20"/>
      <c r="F242" s="2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4.25" customHeight="1" x14ac:dyDescent="0.3">
      <c r="A243" s="20"/>
      <c r="B243" s="20"/>
      <c r="C243" s="20"/>
      <c r="D243" s="20"/>
      <c r="E243" s="20"/>
      <c r="F243" s="2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4.25" customHeight="1" x14ac:dyDescent="0.3">
      <c r="A244" s="20"/>
      <c r="B244" s="20"/>
      <c r="C244" s="20"/>
      <c r="D244" s="20"/>
      <c r="E244" s="20"/>
      <c r="F244" s="2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4.25" customHeight="1" x14ac:dyDescent="0.3">
      <c r="A245" s="20"/>
      <c r="B245" s="20"/>
      <c r="C245" s="20"/>
      <c r="D245" s="20"/>
      <c r="E245" s="20"/>
      <c r="F245" s="2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4.25" customHeight="1" x14ac:dyDescent="0.3">
      <c r="A246" s="20"/>
      <c r="B246" s="20"/>
      <c r="C246" s="20"/>
      <c r="D246" s="20"/>
      <c r="E246" s="20"/>
      <c r="F246" s="2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4.25" customHeight="1" x14ac:dyDescent="0.3">
      <c r="A247" s="20"/>
      <c r="B247" s="20"/>
      <c r="C247" s="20"/>
      <c r="D247" s="20"/>
      <c r="E247" s="20"/>
      <c r="F247" s="2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4.25" customHeight="1" x14ac:dyDescent="0.3">
      <c r="A248" s="20"/>
      <c r="B248" s="20"/>
      <c r="C248" s="20"/>
      <c r="D248" s="20"/>
      <c r="E248" s="20"/>
      <c r="F248" s="2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4.25" customHeight="1" x14ac:dyDescent="0.3">
      <c r="A249" s="20"/>
      <c r="B249" s="20"/>
      <c r="C249" s="20"/>
      <c r="D249" s="20"/>
      <c r="E249" s="20"/>
      <c r="F249" s="2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4.25" customHeight="1" x14ac:dyDescent="0.3">
      <c r="A250" s="20"/>
      <c r="B250" s="20"/>
      <c r="C250" s="20"/>
      <c r="D250" s="20"/>
      <c r="E250" s="20"/>
      <c r="F250" s="2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4.25" customHeight="1" x14ac:dyDescent="0.3">
      <c r="A251" s="20"/>
      <c r="B251" s="20"/>
      <c r="C251" s="20"/>
      <c r="D251" s="20"/>
      <c r="E251" s="20"/>
      <c r="F251" s="2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4.25" customHeight="1" x14ac:dyDescent="0.3">
      <c r="A252" s="20"/>
      <c r="B252" s="20"/>
      <c r="C252" s="20"/>
      <c r="D252" s="20"/>
      <c r="E252" s="20"/>
      <c r="F252" s="2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4.25" customHeight="1" x14ac:dyDescent="0.3">
      <c r="A253" s="20"/>
      <c r="B253" s="20"/>
      <c r="C253" s="20"/>
      <c r="D253" s="20"/>
      <c r="E253" s="20"/>
      <c r="F253" s="2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4.25" customHeight="1" x14ac:dyDescent="0.3">
      <c r="A254" s="20"/>
      <c r="B254" s="20"/>
      <c r="C254" s="20"/>
      <c r="D254" s="20"/>
      <c r="E254" s="20"/>
      <c r="F254" s="2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4.25" customHeight="1" x14ac:dyDescent="0.3">
      <c r="A255" s="20"/>
      <c r="B255" s="20"/>
      <c r="C255" s="20"/>
      <c r="D255" s="20"/>
      <c r="E255" s="20"/>
      <c r="F255" s="2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4.25" customHeight="1" x14ac:dyDescent="0.3">
      <c r="A256" s="20"/>
      <c r="B256" s="20"/>
      <c r="C256" s="20"/>
      <c r="D256" s="20"/>
      <c r="E256" s="20"/>
      <c r="F256" s="2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4.25" customHeight="1" x14ac:dyDescent="0.3">
      <c r="A257" s="20"/>
      <c r="B257" s="20"/>
      <c r="C257" s="20"/>
      <c r="D257" s="20"/>
      <c r="E257" s="20"/>
      <c r="F257" s="2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4.25" customHeight="1" x14ac:dyDescent="0.3">
      <c r="A258" s="20"/>
      <c r="B258" s="20"/>
      <c r="C258" s="20"/>
      <c r="D258" s="20"/>
      <c r="E258" s="20"/>
      <c r="F258" s="2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4.25" customHeight="1" x14ac:dyDescent="0.3">
      <c r="A259" s="20"/>
      <c r="B259" s="20"/>
      <c r="C259" s="20"/>
      <c r="D259" s="20"/>
      <c r="E259" s="20"/>
      <c r="F259" s="2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4.25" customHeight="1" x14ac:dyDescent="0.3">
      <c r="A260" s="20"/>
      <c r="B260" s="20"/>
      <c r="C260" s="20"/>
      <c r="D260" s="20"/>
      <c r="E260" s="20"/>
      <c r="F260" s="2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4.25" customHeight="1" x14ac:dyDescent="0.3">
      <c r="A261" s="20"/>
      <c r="B261" s="20"/>
      <c r="C261" s="20"/>
      <c r="D261" s="20"/>
      <c r="E261" s="20"/>
      <c r="F261" s="2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4.25" customHeight="1" x14ac:dyDescent="0.3">
      <c r="A262" s="20"/>
      <c r="B262" s="20"/>
      <c r="C262" s="20"/>
      <c r="D262" s="20"/>
      <c r="E262" s="20"/>
      <c r="F262" s="2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4.25" customHeight="1" x14ac:dyDescent="0.3">
      <c r="A263" s="20"/>
      <c r="B263" s="20"/>
      <c r="C263" s="20"/>
      <c r="D263" s="20"/>
      <c r="E263" s="20"/>
      <c r="F263" s="2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4.25" customHeight="1" x14ac:dyDescent="0.3">
      <c r="A264" s="20"/>
      <c r="B264" s="20"/>
      <c r="C264" s="20"/>
      <c r="D264" s="20"/>
      <c r="E264" s="20"/>
      <c r="F264" s="2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4.25" customHeight="1" x14ac:dyDescent="0.3">
      <c r="A265" s="20"/>
      <c r="B265" s="20"/>
      <c r="C265" s="20"/>
      <c r="D265" s="20"/>
      <c r="E265" s="20"/>
      <c r="F265" s="2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4.25" customHeight="1" x14ac:dyDescent="0.3">
      <c r="A266" s="20"/>
      <c r="B266" s="20"/>
      <c r="C266" s="20"/>
      <c r="D266" s="20"/>
      <c r="E266" s="20"/>
      <c r="F266" s="2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4.25" customHeight="1" x14ac:dyDescent="0.3">
      <c r="A267" s="20"/>
      <c r="B267" s="20"/>
      <c r="C267" s="20"/>
      <c r="D267" s="20"/>
      <c r="E267" s="20"/>
      <c r="F267" s="2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4.25" customHeight="1" x14ac:dyDescent="0.3">
      <c r="A268" s="20"/>
      <c r="B268" s="20"/>
      <c r="C268" s="20"/>
      <c r="D268" s="20"/>
      <c r="E268" s="20"/>
      <c r="F268" s="2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4.25" customHeight="1" x14ac:dyDescent="0.3">
      <c r="A269" s="20"/>
      <c r="B269" s="20"/>
      <c r="C269" s="20"/>
      <c r="D269" s="20"/>
      <c r="E269" s="20"/>
      <c r="F269" s="2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4.25" customHeight="1" x14ac:dyDescent="0.3">
      <c r="A270" s="20"/>
      <c r="B270" s="20"/>
      <c r="C270" s="20"/>
      <c r="D270" s="20"/>
      <c r="E270" s="20"/>
      <c r="F270" s="2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4.25" customHeight="1" x14ac:dyDescent="0.3">
      <c r="A271" s="20"/>
      <c r="B271" s="20"/>
      <c r="C271" s="20"/>
      <c r="D271" s="20"/>
      <c r="E271" s="20"/>
      <c r="F271" s="2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4.25" customHeight="1" x14ac:dyDescent="0.3">
      <c r="A272" s="20"/>
      <c r="B272" s="20"/>
      <c r="C272" s="20"/>
      <c r="D272" s="20"/>
      <c r="E272" s="20"/>
      <c r="F272" s="2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4.25" customHeight="1" x14ac:dyDescent="0.3">
      <c r="A273" s="20"/>
      <c r="B273" s="20"/>
      <c r="C273" s="20"/>
      <c r="D273" s="20"/>
      <c r="E273" s="20"/>
      <c r="F273" s="2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4.25" customHeight="1" x14ac:dyDescent="0.3">
      <c r="A274" s="20"/>
      <c r="B274" s="20"/>
      <c r="C274" s="20"/>
      <c r="D274" s="20"/>
      <c r="E274" s="20"/>
      <c r="F274" s="2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4.25" customHeight="1" x14ac:dyDescent="0.3">
      <c r="A275" s="20"/>
      <c r="B275" s="20"/>
      <c r="C275" s="20"/>
      <c r="D275" s="20"/>
      <c r="E275" s="20"/>
      <c r="F275" s="2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4.25" customHeight="1" x14ac:dyDescent="0.3">
      <c r="A276" s="20"/>
      <c r="B276" s="20"/>
      <c r="C276" s="20"/>
      <c r="D276" s="20"/>
      <c r="E276" s="20"/>
      <c r="F276" s="2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4.25" customHeight="1" x14ac:dyDescent="0.3">
      <c r="A277" s="20"/>
      <c r="B277" s="20"/>
      <c r="C277" s="20"/>
      <c r="D277" s="20"/>
      <c r="E277" s="20"/>
      <c r="F277" s="2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4.25" customHeight="1" x14ac:dyDescent="0.3">
      <c r="A278" s="20"/>
      <c r="B278" s="20"/>
      <c r="C278" s="20"/>
      <c r="D278" s="20"/>
      <c r="E278" s="20"/>
      <c r="F278" s="2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4.25" customHeight="1" x14ac:dyDescent="0.3">
      <c r="A279" s="20"/>
      <c r="B279" s="20"/>
      <c r="C279" s="20"/>
      <c r="D279" s="20"/>
      <c r="E279" s="20"/>
      <c r="F279" s="2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4.25" customHeight="1" x14ac:dyDescent="0.3">
      <c r="A280" s="20"/>
      <c r="B280" s="20"/>
      <c r="C280" s="20"/>
      <c r="D280" s="20"/>
      <c r="E280" s="20"/>
      <c r="F280" s="2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4.25" customHeight="1" x14ac:dyDescent="0.3">
      <c r="A281" s="20"/>
      <c r="B281" s="20"/>
      <c r="C281" s="20"/>
      <c r="D281" s="20"/>
      <c r="E281" s="20"/>
      <c r="F281" s="2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4.25" customHeight="1" x14ac:dyDescent="0.3">
      <c r="A282" s="20"/>
      <c r="B282" s="20"/>
      <c r="C282" s="20"/>
      <c r="D282" s="20"/>
      <c r="E282" s="20"/>
      <c r="F282" s="2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4.25" customHeight="1" x14ac:dyDescent="0.3">
      <c r="A283" s="20"/>
      <c r="B283" s="20"/>
      <c r="C283" s="20"/>
      <c r="D283" s="20"/>
      <c r="E283" s="20"/>
      <c r="F283" s="2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4.25" customHeight="1" x14ac:dyDescent="0.3">
      <c r="A284" s="20"/>
      <c r="B284" s="20"/>
      <c r="C284" s="20"/>
      <c r="D284" s="20"/>
      <c r="E284" s="20"/>
      <c r="F284" s="2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4.25" customHeight="1" x14ac:dyDescent="0.3">
      <c r="A285" s="20"/>
      <c r="B285" s="20"/>
      <c r="C285" s="20"/>
      <c r="D285" s="20"/>
      <c r="E285" s="20"/>
      <c r="F285" s="2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4.25" customHeight="1" x14ac:dyDescent="0.3">
      <c r="A286" s="20"/>
      <c r="B286" s="20"/>
      <c r="C286" s="20"/>
      <c r="D286" s="20"/>
      <c r="E286" s="20"/>
      <c r="F286" s="2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4.25" customHeight="1" x14ac:dyDescent="0.3">
      <c r="A287" s="20"/>
      <c r="B287" s="20"/>
      <c r="C287" s="20"/>
      <c r="D287" s="20"/>
      <c r="E287" s="20"/>
      <c r="F287" s="2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4.25" customHeight="1" x14ac:dyDescent="0.3">
      <c r="A288" s="20"/>
      <c r="B288" s="20"/>
      <c r="C288" s="20"/>
      <c r="D288" s="20"/>
      <c r="E288" s="20"/>
      <c r="F288" s="2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4.25" customHeight="1" x14ac:dyDescent="0.3">
      <c r="A289" s="20"/>
      <c r="B289" s="20"/>
      <c r="C289" s="20"/>
      <c r="D289" s="20"/>
      <c r="E289" s="20"/>
      <c r="F289" s="2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4.25" customHeight="1" x14ac:dyDescent="0.3">
      <c r="A290" s="20"/>
      <c r="B290" s="20"/>
      <c r="C290" s="20"/>
      <c r="D290" s="20"/>
      <c r="E290" s="20"/>
      <c r="F290" s="2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4.25" customHeight="1" x14ac:dyDescent="0.3">
      <c r="A291" s="20"/>
      <c r="B291" s="20"/>
      <c r="C291" s="20"/>
      <c r="D291" s="20"/>
      <c r="E291" s="20"/>
      <c r="F291" s="2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4.25" customHeight="1" x14ac:dyDescent="0.3">
      <c r="A292" s="20"/>
      <c r="B292" s="20"/>
      <c r="C292" s="20"/>
      <c r="D292" s="20"/>
      <c r="E292" s="20"/>
      <c r="F292" s="2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4.25" customHeight="1" x14ac:dyDescent="0.3">
      <c r="A293" s="20"/>
      <c r="B293" s="20"/>
      <c r="C293" s="20"/>
      <c r="D293" s="20"/>
      <c r="E293" s="20"/>
      <c r="F293" s="2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4.25" customHeight="1" x14ac:dyDescent="0.3">
      <c r="A294" s="20"/>
      <c r="B294" s="20"/>
      <c r="C294" s="20"/>
      <c r="D294" s="20"/>
      <c r="E294" s="20"/>
      <c r="F294" s="2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4.25" customHeight="1" x14ac:dyDescent="0.3">
      <c r="A295" s="20"/>
      <c r="B295" s="20"/>
      <c r="C295" s="20"/>
      <c r="D295" s="20"/>
      <c r="E295" s="20"/>
      <c r="F295" s="2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4.25" customHeight="1" x14ac:dyDescent="0.3">
      <c r="A296" s="20"/>
      <c r="B296" s="20"/>
      <c r="C296" s="20"/>
      <c r="D296" s="20"/>
      <c r="E296" s="20"/>
      <c r="F296" s="2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4.25" customHeight="1" x14ac:dyDescent="0.3">
      <c r="A297" s="20"/>
      <c r="B297" s="20"/>
      <c r="C297" s="20"/>
      <c r="D297" s="20"/>
      <c r="E297" s="20"/>
      <c r="F297" s="2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4.25" customHeight="1" x14ac:dyDescent="0.3">
      <c r="A298" s="20"/>
      <c r="B298" s="20"/>
      <c r="C298" s="20"/>
      <c r="D298" s="20"/>
      <c r="E298" s="20"/>
      <c r="F298" s="2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4.25" customHeight="1" x14ac:dyDescent="0.3">
      <c r="A299" s="20"/>
      <c r="B299" s="20"/>
      <c r="C299" s="20"/>
      <c r="D299" s="20"/>
      <c r="E299" s="20"/>
      <c r="F299" s="2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4.25" customHeight="1" x14ac:dyDescent="0.3">
      <c r="A300" s="20"/>
      <c r="B300" s="20"/>
      <c r="C300" s="20"/>
      <c r="D300" s="20"/>
      <c r="E300" s="20"/>
      <c r="F300" s="2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4.25" customHeight="1" x14ac:dyDescent="0.3">
      <c r="A301" s="20"/>
      <c r="B301" s="20"/>
      <c r="C301" s="20"/>
      <c r="D301" s="20"/>
      <c r="E301" s="20"/>
      <c r="F301" s="2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4.25" customHeight="1" x14ac:dyDescent="0.3">
      <c r="A302" s="20"/>
      <c r="B302" s="20"/>
      <c r="C302" s="20"/>
      <c r="D302" s="20"/>
      <c r="E302" s="20"/>
      <c r="F302" s="2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4.25" customHeight="1" x14ac:dyDescent="0.3">
      <c r="A303" s="20"/>
      <c r="B303" s="20"/>
      <c r="C303" s="20"/>
      <c r="D303" s="20"/>
      <c r="E303" s="20"/>
      <c r="F303" s="2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4.25" customHeight="1" x14ac:dyDescent="0.3">
      <c r="A304" s="20"/>
      <c r="B304" s="20"/>
      <c r="C304" s="20"/>
      <c r="D304" s="20"/>
      <c r="E304" s="20"/>
      <c r="F304" s="2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4.25" customHeight="1" x14ac:dyDescent="0.3">
      <c r="A305" s="20"/>
      <c r="B305" s="20"/>
      <c r="C305" s="20"/>
      <c r="D305" s="20"/>
      <c r="E305" s="20"/>
      <c r="F305" s="2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4.25" customHeight="1" x14ac:dyDescent="0.3">
      <c r="A306" s="20"/>
      <c r="B306" s="20"/>
      <c r="C306" s="20"/>
      <c r="D306" s="20"/>
      <c r="E306" s="20"/>
      <c r="F306" s="2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4.25" customHeight="1" x14ac:dyDescent="0.3">
      <c r="A307" s="20"/>
      <c r="B307" s="20"/>
      <c r="C307" s="20"/>
      <c r="D307" s="20"/>
      <c r="E307" s="20"/>
      <c r="F307" s="2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4.25" customHeight="1" x14ac:dyDescent="0.3">
      <c r="A308" s="20"/>
      <c r="B308" s="20"/>
      <c r="C308" s="20"/>
      <c r="D308" s="20"/>
      <c r="E308" s="20"/>
      <c r="F308" s="2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4.25" customHeight="1" x14ac:dyDescent="0.3">
      <c r="A309" s="20"/>
      <c r="B309" s="20"/>
      <c r="C309" s="20"/>
      <c r="D309" s="20"/>
      <c r="E309" s="20"/>
      <c r="F309" s="2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4.25" customHeight="1" x14ac:dyDescent="0.3">
      <c r="A310" s="20"/>
      <c r="B310" s="20"/>
      <c r="C310" s="20"/>
      <c r="D310" s="20"/>
      <c r="E310" s="20"/>
      <c r="F310" s="2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4.25" customHeight="1" x14ac:dyDescent="0.3">
      <c r="A311" s="20"/>
      <c r="B311" s="20"/>
      <c r="C311" s="20"/>
      <c r="D311" s="20"/>
      <c r="E311" s="20"/>
      <c r="F311" s="2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4.25" customHeight="1" x14ac:dyDescent="0.3">
      <c r="A312" s="20"/>
      <c r="B312" s="20"/>
      <c r="C312" s="20"/>
      <c r="D312" s="20"/>
      <c r="E312" s="20"/>
      <c r="F312" s="2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4.25" customHeight="1" x14ac:dyDescent="0.3">
      <c r="A313" s="20"/>
      <c r="B313" s="20"/>
      <c r="C313" s="20"/>
      <c r="D313" s="20"/>
      <c r="E313" s="20"/>
      <c r="F313" s="2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4.25" customHeight="1" x14ac:dyDescent="0.3">
      <c r="A314" s="20"/>
      <c r="B314" s="20"/>
      <c r="C314" s="20"/>
      <c r="D314" s="20"/>
      <c r="E314" s="20"/>
      <c r="F314" s="2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4.25" customHeight="1" x14ac:dyDescent="0.3">
      <c r="A315" s="20"/>
      <c r="B315" s="20"/>
      <c r="C315" s="20"/>
      <c r="D315" s="20"/>
      <c r="E315" s="20"/>
      <c r="F315" s="2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4.25" customHeight="1" x14ac:dyDescent="0.3">
      <c r="A316" s="20"/>
      <c r="B316" s="20"/>
      <c r="C316" s="20"/>
      <c r="D316" s="20"/>
      <c r="E316" s="20"/>
      <c r="F316" s="2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4.25" customHeight="1" x14ac:dyDescent="0.3">
      <c r="A317" s="20"/>
      <c r="B317" s="20"/>
      <c r="C317" s="20"/>
      <c r="D317" s="20"/>
      <c r="E317" s="20"/>
      <c r="F317" s="2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4.25" customHeight="1" x14ac:dyDescent="0.3">
      <c r="A318" s="20"/>
      <c r="B318" s="20"/>
      <c r="C318" s="20"/>
      <c r="D318" s="20"/>
      <c r="E318" s="20"/>
      <c r="F318" s="2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4.25" customHeight="1" x14ac:dyDescent="0.3">
      <c r="A319" s="20"/>
      <c r="B319" s="20"/>
      <c r="C319" s="20"/>
      <c r="D319" s="20"/>
      <c r="E319" s="20"/>
      <c r="F319" s="2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4.25" customHeight="1" x14ac:dyDescent="0.3">
      <c r="A320" s="20"/>
      <c r="B320" s="20"/>
      <c r="C320" s="20"/>
      <c r="D320" s="20"/>
      <c r="E320" s="20"/>
      <c r="F320" s="2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4.25" customHeight="1" x14ac:dyDescent="0.3">
      <c r="A321" s="20"/>
      <c r="B321" s="20"/>
      <c r="C321" s="20"/>
      <c r="D321" s="20"/>
      <c r="E321" s="20"/>
      <c r="F321" s="2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4.25" customHeight="1" x14ac:dyDescent="0.3">
      <c r="A322" s="20"/>
      <c r="B322" s="20"/>
      <c r="C322" s="20"/>
      <c r="D322" s="20"/>
      <c r="E322" s="20"/>
      <c r="F322" s="2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4.25" customHeight="1" x14ac:dyDescent="0.3">
      <c r="A323" s="20"/>
      <c r="B323" s="20"/>
      <c r="C323" s="20"/>
      <c r="D323" s="20"/>
      <c r="E323" s="20"/>
      <c r="F323" s="2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4.25" customHeight="1" x14ac:dyDescent="0.3">
      <c r="A324" s="20"/>
      <c r="B324" s="20"/>
      <c r="C324" s="20"/>
      <c r="D324" s="20"/>
      <c r="E324" s="20"/>
      <c r="F324" s="2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4.25" customHeight="1" x14ac:dyDescent="0.3">
      <c r="A325" s="20"/>
      <c r="B325" s="20"/>
      <c r="C325" s="20"/>
      <c r="D325" s="20"/>
      <c r="E325" s="20"/>
      <c r="F325" s="2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4.25" customHeight="1" x14ac:dyDescent="0.3">
      <c r="A326" s="20"/>
      <c r="B326" s="20"/>
      <c r="C326" s="20"/>
      <c r="D326" s="20"/>
      <c r="E326" s="20"/>
      <c r="F326" s="2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4.25" customHeight="1" x14ac:dyDescent="0.3">
      <c r="A327" s="20"/>
      <c r="B327" s="20"/>
      <c r="C327" s="20"/>
      <c r="D327" s="20"/>
      <c r="E327" s="20"/>
      <c r="F327" s="2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4.25" customHeight="1" x14ac:dyDescent="0.3">
      <c r="A328" s="20"/>
      <c r="B328" s="20"/>
      <c r="C328" s="20"/>
      <c r="D328" s="20"/>
      <c r="E328" s="20"/>
      <c r="F328" s="2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4.25" customHeight="1" x14ac:dyDescent="0.3">
      <c r="A329" s="20"/>
      <c r="B329" s="20"/>
      <c r="C329" s="20"/>
      <c r="D329" s="20"/>
      <c r="E329" s="20"/>
      <c r="F329" s="2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4.25" customHeight="1" x14ac:dyDescent="0.3">
      <c r="A330" s="20"/>
      <c r="B330" s="20"/>
      <c r="C330" s="20"/>
      <c r="D330" s="20"/>
      <c r="E330" s="20"/>
      <c r="F330" s="2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4.25" customHeight="1" x14ac:dyDescent="0.3">
      <c r="A331" s="20"/>
      <c r="B331" s="20"/>
      <c r="C331" s="20"/>
      <c r="D331" s="20"/>
      <c r="E331" s="20"/>
      <c r="F331" s="2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4.25" customHeight="1" x14ac:dyDescent="0.3">
      <c r="A332" s="20"/>
      <c r="B332" s="20"/>
      <c r="C332" s="20"/>
      <c r="D332" s="20"/>
      <c r="E332" s="20"/>
      <c r="F332" s="2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4.25" customHeight="1" x14ac:dyDescent="0.3">
      <c r="A333" s="20"/>
      <c r="B333" s="20"/>
      <c r="C333" s="20"/>
      <c r="D333" s="20"/>
      <c r="E333" s="20"/>
      <c r="F333" s="2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4.25" customHeight="1" x14ac:dyDescent="0.3">
      <c r="A334" s="20"/>
      <c r="B334" s="20"/>
      <c r="C334" s="20"/>
      <c r="D334" s="20"/>
      <c r="E334" s="20"/>
      <c r="F334" s="2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4.25" customHeight="1" x14ac:dyDescent="0.3">
      <c r="A335" s="20"/>
      <c r="B335" s="20"/>
      <c r="C335" s="20"/>
      <c r="D335" s="20"/>
      <c r="E335" s="20"/>
      <c r="F335" s="2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4.25" customHeight="1" x14ac:dyDescent="0.3">
      <c r="A336" s="20"/>
      <c r="B336" s="20"/>
      <c r="C336" s="20"/>
      <c r="D336" s="20"/>
      <c r="E336" s="20"/>
      <c r="F336" s="2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4.25" customHeight="1" x14ac:dyDescent="0.3">
      <c r="A337" s="20"/>
      <c r="B337" s="20"/>
      <c r="C337" s="20"/>
      <c r="D337" s="20"/>
      <c r="E337" s="20"/>
      <c r="F337" s="2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4.25" customHeight="1" x14ac:dyDescent="0.3">
      <c r="A338" s="20"/>
      <c r="B338" s="20"/>
      <c r="C338" s="20"/>
      <c r="D338" s="20"/>
      <c r="E338" s="20"/>
      <c r="F338" s="2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4.25" customHeight="1" x14ac:dyDescent="0.3">
      <c r="A339" s="20"/>
      <c r="B339" s="20"/>
      <c r="C339" s="20"/>
      <c r="D339" s="20"/>
      <c r="E339" s="20"/>
      <c r="F339" s="2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4.25" customHeight="1" x14ac:dyDescent="0.3">
      <c r="A340" s="20"/>
      <c r="B340" s="20"/>
      <c r="C340" s="20"/>
      <c r="D340" s="20"/>
      <c r="E340" s="20"/>
      <c r="F340" s="2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4.25" customHeight="1" x14ac:dyDescent="0.3">
      <c r="A341" s="20"/>
      <c r="B341" s="20"/>
      <c r="C341" s="20"/>
      <c r="D341" s="20"/>
      <c r="E341" s="20"/>
      <c r="F341" s="2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4.25" customHeight="1" x14ac:dyDescent="0.3">
      <c r="A342" s="20"/>
      <c r="B342" s="20"/>
      <c r="C342" s="20"/>
      <c r="D342" s="20"/>
      <c r="E342" s="20"/>
      <c r="F342" s="2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4.25" customHeight="1" x14ac:dyDescent="0.3">
      <c r="A343" s="20"/>
      <c r="B343" s="20"/>
      <c r="C343" s="20"/>
      <c r="D343" s="20"/>
      <c r="E343" s="20"/>
      <c r="F343" s="2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4.25" customHeight="1" x14ac:dyDescent="0.3">
      <c r="A344" s="20"/>
      <c r="B344" s="20"/>
      <c r="C344" s="20"/>
      <c r="D344" s="20"/>
      <c r="E344" s="20"/>
      <c r="F344" s="2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4.25" customHeight="1" x14ac:dyDescent="0.3">
      <c r="A345" s="20"/>
      <c r="B345" s="20"/>
      <c r="C345" s="20"/>
      <c r="D345" s="20"/>
      <c r="E345" s="20"/>
      <c r="F345" s="2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4.25" customHeight="1" x14ac:dyDescent="0.3">
      <c r="A346" s="20"/>
      <c r="B346" s="20"/>
      <c r="C346" s="20"/>
      <c r="D346" s="20"/>
      <c r="E346" s="20"/>
      <c r="F346" s="2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4.25" customHeight="1" x14ac:dyDescent="0.3">
      <c r="A347" s="20"/>
      <c r="B347" s="20"/>
      <c r="C347" s="20"/>
      <c r="D347" s="20"/>
      <c r="E347" s="20"/>
      <c r="F347" s="2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4.25" customHeight="1" x14ac:dyDescent="0.3">
      <c r="A348" s="20"/>
      <c r="B348" s="20"/>
      <c r="C348" s="20"/>
      <c r="D348" s="20"/>
      <c r="E348" s="20"/>
      <c r="F348" s="2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4.25" customHeight="1" x14ac:dyDescent="0.3">
      <c r="A349" s="20"/>
      <c r="B349" s="20"/>
      <c r="C349" s="20"/>
      <c r="D349" s="20"/>
      <c r="E349" s="20"/>
      <c r="F349" s="2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4.25" customHeight="1" x14ac:dyDescent="0.3">
      <c r="A350" s="20"/>
      <c r="B350" s="20"/>
      <c r="C350" s="20"/>
      <c r="D350" s="20"/>
      <c r="E350" s="20"/>
      <c r="F350" s="2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4.25" customHeight="1" x14ac:dyDescent="0.3">
      <c r="A351" s="20"/>
      <c r="B351" s="20"/>
      <c r="C351" s="20"/>
      <c r="D351" s="20"/>
      <c r="E351" s="20"/>
      <c r="F351" s="2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4.25" customHeight="1" x14ac:dyDescent="0.3">
      <c r="A352" s="20"/>
      <c r="B352" s="20"/>
      <c r="C352" s="20"/>
      <c r="D352" s="20"/>
      <c r="E352" s="20"/>
      <c r="F352" s="2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4.25" customHeight="1" x14ac:dyDescent="0.3">
      <c r="A353" s="20"/>
      <c r="B353" s="20"/>
      <c r="C353" s="20"/>
      <c r="D353" s="20"/>
      <c r="E353" s="20"/>
      <c r="F353" s="2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4.25" customHeight="1" x14ac:dyDescent="0.3">
      <c r="A354" s="20"/>
      <c r="B354" s="20"/>
      <c r="C354" s="20"/>
      <c r="D354" s="20"/>
      <c r="E354" s="20"/>
      <c r="F354" s="2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4.25" customHeight="1" x14ac:dyDescent="0.3">
      <c r="A355" s="20"/>
      <c r="B355" s="20"/>
      <c r="C355" s="20"/>
      <c r="D355" s="20"/>
      <c r="E355" s="20"/>
      <c r="F355" s="2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4.25" customHeight="1" x14ac:dyDescent="0.3">
      <c r="A356" s="20"/>
      <c r="B356" s="20"/>
      <c r="C356" s="20"/>
      <c r="D356" s="20"/>
      <c r="E356" s="20"/>
      <c r="F356" s="2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4.25" customHeight="1" x14ac:dyDescent="0.3">
      <c r="A357" s="20"/>
      <c r="B357" s="20"/>
      <c r="C357" s="20"/>
      <c r="D357" s="20"/>
      <c r="E357" s="20"/>
      <c r="F357" s="2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4.25" customHeight="1" x14ac:dyDescent="0.3">
      <c r="A358" s="20"/>
      <c r="B358" s="20"/>
      <c r="C358" s="20"/>
      <c r="D358" s="20"/>
      <c r="E358" s="20"/>
      <c r="F358" s="2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4.25" customHeight="1" x14ac:dyDescent="0.3">
      <c r="A359" s="20"/>
      <c r="B359" s="20"/>
      <c r="C359" s="20"/>
      <c r="D359" s="20"/>
      <c r="E359" s="20"/>
      <c r="F359" s="2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4.25" customHeight="1" x14ac:dyDescent="0.3">
      <c r="A360" s="20"/>
      <c r="B360" s="20"/>
      <c r="C360" s="20"/>
      <c r="D360" s="20"/>
      <c r="E360" s="20"/>
      <c r="F360" s="2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4.25" customHeight="1" x14ac:dyDescent="0.3">
      <c r="A361" s="20"/>
      <c r="B361" s="20"/>
      <c r="C361" s="20"/>
      <c r="D361" s="20"/>
      <c r="E361" s="20"/>
      <c r="F361" s="2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4.25" customHeight="1" x14ac:dyDescent="0.3">
      <c r="A362" s="20"/>
      <c r="B362" s="20"/>
      <c r="C362" s="20"/>
      <c r="D362" s="20"/>
      <c r="E362" s="20"/>
      <c r="F362" s="2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4.25" customHeight="1" x14ac:dyDescent="0.3">
      <c r="A363" s="20"/>
      <c r="B363" s="20"/>
      <c r="C363" s="20"/>
      <c r="D363" s="20"/>
      <c r="E363" s="20"/>
      <c r="F363" s="2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4.25" customHeight="1" x14ac:dyDescent="0.3">
      <c r="A364" s="20"/>
      <c r="B364" s="20"/>
      <c r="C364" s="20"/>
      <c r="D364" s="20"/>
      <c r="E364" s="20"/>
      <c r="F364" s="2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4.25" customHeight="1" x14ac:dyDescent="0.3">
      <c r="A365" s="20"/>
      <c r="B365" s="20"/>
      <c r="C365" s="20"/>
      <c r="D365" s="20"/>
      <c r="E365" s="20"/>
      <c r="F365" s="2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4.25" customHeight="1" x14ac:dyDescent="0.3">
      <c r="A366" s="20"/>
      <c r="B366" s="20"/>
      <c r="C366" s="20"/>
      <c r="D366" s="20"/>
      <c r="E366" s="20"/>
      <c r="F366" s="2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4.25" customHeight="1" x14ac:dyDescent="0.3">
      <c r="A367" s="20"/>
      <c r="B367" s="20"/>
      <c r="C367" s="20"/>
      <c r="D367" s="20"/>
      <c r="E367" s="20"/>
      <c r="F367" s="2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4.25" customHeight="1" x14ac:dyDescent="0.3">
      <c r="A368" s="20"/>
      <c r="B368" s="20"/>
      <c r="C368" s="20"/>
      <c r="D368" s="20"/>
      <c r="E368" s="20"/>
      <c r="F368" s="2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4.25" customHeight="1" x14ac:dyDescent="0.3">
      <c r="A369" s="20"/>
      <c r="B369" s="20"/>
      <c r="C369" s="20"/>
      <c r="D369" s="20"/>
      <c r="E369" s="20"/>
      <c r="F369" s="2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4.25" customHeight="1" x14ac:dyDescent="0.3">
      <c r="A370" s="20"/>
      <c r="B370" s="20"/>
      <c r="C370" s="20"/>
      <c r="D370" s="20"/>
      <c r="E370" s="20"/>
      <c r="F370" s="2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4.25" customHeight="1" x14ac:dyDescent="0.3">
      <c r="A371" s="20"/>
      <c r="B371" s="20"/>
      <c r="C371" s="20"/>
      <c r="D371" s="20"/>
      <c r="E371" s="20"/>
      <c r="F371" s="2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4.25" customHeight="1" x14ac:dyDescent="0.3">
      <c r="A372" s="20"/>
      <c r="B372" s="20"/>
      <c r="C372" s="20"/>
      <c r="D372" s="20"/>
      <c r="E372" s="20"/>
      <c r="F372" s="2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4.25" customHeight="1" x14ac:dyDescent="0.3">
      <c r="A373" s="20"/>
      <c r="B373" s="20"/>
      <c r="C373" s="20"/>
      <c r="D373" s="20"/>
      <c r="E373" s="20"/>
      <c r="F373" s="2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4.25" customHeight="1" x14ac:dyDescent="0.3">
      <c r="A374" s="20"/>
      <c r="B374" s="20"/>
      <c r="C374" s="20"/>
      <c r="D374" s="20"/>
      <c r="E374" s="20"/>
      <c r="F374" s="2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4.25" customHeight="1" x14ac:dyDescent="0.3">
      <c r="A375" s="20"/>
      <c r="B375" s="20"/>
      <c r="C375" s="20"/>
      <c r="D375" s="20"/>
      <c r="E375" s="20"/>
      <c r="F375" s="2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4.25" customHeight="1" x14ac:dyDescent="0.3">
      <c r="A376" s="20"/>
      <c r="B376" s="20"/>
      <c r="C376" s="20"/>
      <c r="D376" s="20"/>
      <c r="E376" s="20"/>
      <c r="F376" s="2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4.25" customHeight="1" x14ac:dyDescent="0.3">
      <c r="A377" s="20"/>
      <c r="B377" s="20"/>
      <c r="C377" s="20"/>
      <c r="D377" s="20"/>
      <c r="E377" s="20"/>
      <c r="F377" s="2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4.25" customHeight="1" x14ac:dyDescent="0.3">
      <c r="A378" s="20"/>
      <c r="B378" s="20"/>
      <c r="C378" s="20"/>
      <c r="D378" s="20"/>
      <c r="E378" s="20"/>
      <c r="F378" s="2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4.25" customHeight="1" x14ac:dyDescent="0.3">
      <c r="A379" s="20"/>
      <c r="B379" s="20"/>
      <c r="C379" s="20"/>
      <c r="D379" s="20"/>
      <c r="E379" s="20"/>
      <c r="F379" s="2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4.25" customHeight="1" x14ac:dyDescent="0.3">
      <c r="A380" s="20"/>
      <c r="B380" s="20"/>
      <c r="C380" s="20"/>
      <c r="D380" s="20"/>
      <c r="E380" s="20"/>
      <c r="F380" s="2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4.25" customHeight="1" x14ac:dyDescent="0.3">
      <c r="A381" s="20"/>
      <c r="B381" s="20"/>
      <c r="C381" s="20"/>
      <c r="D381" s="20"/>
      <c r="E381" s="20"/>
      <c r="F381" s="2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4.25" customHeight="1" x14ac:dyDescent="0.3">
      <c r="A382" s="20"/>
      <c r="B382" s="20"/>
      <c r="C382" s="20"/>
      <c r="D382" s="20"/>
      <c r="E382" s="20"/>
      <c r="F382" s="2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4.25" customHeight="1" x14ac:dyDescent="0.3">
      <c r="A383" s="20"/>
      <c r="B383" s="20"/>
      <c r="C383" s="20"/>
      <c r="D383" s="20"/>
      <c r="E383" s="20"/>
      <c r="F383" s="2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4.25" customHeight="1" x14ac:dyDescent="0.3">
      <c r="A384" s="20"/>
      <c r="B384" s="20"/>
      <c r="C384" s="20"/>
      <c r="D384" s="20"/>
      <c r="E384" s="20"/>
      <c r="F384" s="2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4.25" customHeight="1" x14ac:dyDescent="0.3">
      <c r="A385" s="20"/>
      <c r="B385" s="20"/>
      <c r="C385" s="20"/>
      <c r="D385" s="20"/>
      <c r="E385" s="20"/>
      <c r="F385" s="2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4.25" customHeight="1" x14ac:dyDescent="0.3">
      <c r="A386" s="20"/>
      <c r="B386" s="20"/>
      <c r="C386" s="20"/>
      <c r="D386" s="20"/>
      <c r="E386" s="20"/>
      <c r="F386" s="2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4.25" customHeight="1" x14ac:dyDescent="0.3">
      <c r="A387" s="20"/>
      <c r="B387" s="20"/>
      <c r="C387" s="20"/>
      <c r="D387" s="20"/>
      <c r="E387" s="20"/>
      <c r="F387" s="2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4.25" customHeight="1" x14ac:dyDescent="0.3">
      <c r="A388" s="20"/>
      <c r="B388" s="20"/>
      <c r="C388" s="20"/>
      <c r="D388" s="20"/>
      <c r="E388" s="20"/>
      <c r="F388" s="2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4.25" customHeight="1" x14ac:dyDescent="0.3">
      <c r="A389" s="20"/>
      <c r="B389" s="20"/>
      <c r="C389" s="20"/>
      <c r="D389" s="20"/>
      <c r="E389" s="20"/>
      <c r="F389" s="2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4.25" customHeight="1" x14ac:dyDescent="0.3">
      <c r="A390" s="20"/>
      <c r="B390" s="20"/>
      <c r="C390" s="20"/>
      <c r="D390" s="20"/>
      <c r="E390" s="20"/>
      <c r="F390" s="2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4.25" customHeight="1" x14ac:dyDescent="0.3">
      <c r="A391" s="20"/>
      <c r="B391" s="20"/>
      <c r="C391" s="20"/>
      <c r="D391" s="20"/>
      <c r="E391" s="20"/>
      <c r="F391" s="2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4.25" customHeight="1" x14ac:dyDescent="0.3">
      <c r="A392" s="20"/>
      <c r="B392" s="20"/>
      <c r="C392" s="20"/>
      <c r="D392" s="20"/>
      <c r="E392" s="20"/>
      <c r="F392" s="2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4.25" customHeight="1" x14ac:dyDescent="0.3">
      <c r="A393" s="20"/>
      <c r="B393" s="20"/>
      <c r="C393" s="20"/>
      <c r="D393" s="20"/>
      <c r="E393" s="20"/>
      <c r="F393" s="2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4.25" customHeight="1" x14ac:dyDescent="0.3">
      <c r="A394" s="20"/>
      <c r="B394" s="20"/>
      <c r="C394" s="20"/>
      <c r="D394" s="20"/>
      <c r="E394" s="20"/>
      <c r="F394" s="2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4.25" customHeight="1" x14ac:dyDescent="0.3">
      <c r="A395" s="20"/>
      <c r="B395" s="20"/>
      <c r="C395" s="20"/>
      <c r="D395" s="20"/>
      <c r="E395" s="20"/>
      <c r="F395" s="2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4.25" customHeight="1" x14ac:dyDescent="0.3">
      <c r="A396" s="20"/>
      <c r="B396" s="20"/>
      <c r="C396" s="20"/>
      <c r="D396" s="20"/>
      <c r="E396" s="20"/>
      <c r="F396" s="2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4.25" customHeight="1" x14ac:dyDescent="0.3">
      <c r="A397" s="20"/>
      <c r="B397" s="20"/>
      <c r="C397" s="20"/>
      <c r="D397" s="20"/>
      <c r="E397" s="20"/>
      <c r="F397" s="2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4.25" customHeight="1" x14ac:dyDescent="0.3">
      <c r="A398" s="20"/>
      <c r="B398" s="20"/>
      <c r="C398" s="20"/>
      <c r="D398" s="20"/>
      <c r="E398" s="20"/>
      <c r="F398" s="2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4.25" customHeight="1" x14ac:dyDescent="0.3">
      <c r="A399" s="20"/>
      <c r="B399" s="20"/>
      <c r="C399" s="20"/>
      <c r="D399" s="20"/>
      <c r="E399" s="20"/>
      <c r="F399" s="2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4.25" customHeight="1" x14ac:dyDescent="0.3">
      <c r="A400" s="20"/>
      <c r="B400" s="20"/>
      <c r="C400" s="20"/>
      <c r="D400" s="20"/>
      <c r="E400" s="20"/>
      <c r="F400" s="2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4.25" customHeight="1" x14ac:dyDescent="0.3">
      <c r="A401" s="20"/>
      <c r="B401" s="20"/>
      <c r="C401" s="20"/>
      <c r="D401" s="20"/>
      <c r="E401" s="20"/>
      <c r="F401" s="2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4.25" customHeight="1" x14ac:dyDescent="0.3">
      <c r="A402" s="20"/>
      <c r="B402" s="20"/>
      <c r="C402" s="20"/>
      <c r="D402" s="20"/>
      <c r="E402" s="20"/>
      <c r="F402" s="2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4.25" customHeight="1" x14ac:dyDescent="0.3">
      <c r="A403" s="20"/>
      <c r="B403" s="20"/>
      <c r="C403" s="20"/>
      <c r="D403" s="20"/>
      <c r="E403" s="20"/>
      <c r="F403" s="2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4.25" customHeight="1" x14ac:dyDescent="0.3">
      <c r="A404" s="20"/>
      <c r="B404" s="20"/>
      <c r="C404" s="20"/>
      <c r="D404" s="20"/>
      <c r="E404" s="20"/>
      <c r="F404" s="2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4.25" customHeight="1" x14ac:dyDescent="0.3">
      <c r="A405" s="20"/>
      <c r="B405" s="20"/>
      <c r="C405" s="20"/>
      <c r="D405" s="20"/>
      <c r="E405" s="20"/>
      <c r="F405" s="2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4.25" customHeight="1" x14ac:dyDescent="0.3">
      <c r="A406" s="20"/>
      <c r="B406" s="20"/>
      <c r="C406" s="20"/>
      <c r="D406" s="20"/>
      <c r="E406" s="20"/>
      <c r="F406" s="2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4.25" customHeight="1" x14ac:dyDescent="0.3">
      <c r="A407" s="20"/>
      <c r="B407" s="20"/>
      <c r="C407" s="20"/>
      <c r="D407" s="20"/>
      <c r="E407" s="20"/>
      <c r="F407" s="2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4.25" customHeight="1" x14ac:dyDescent="0.3">
      <c r="A408" s="20"/>
      <c r="B408" s="20"/>
      <c r="C408" s="20"/>
      <c r="D408" s="20"/>
      <c r="E408" s="20"/>
      <c r="F408" s="2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4.25" customHeight="1" x14ac:dyDescent="0.3">
      <c r="A409" s="20"/>
      <c r="B409" s="20"/>
      <c r="C409" s="20"/>
      <c r="D409" s="20"/>
      <c r="E409" s="20"/>
      <c r="F409" s="2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4.25" customHeight="1" x14ac:dyDescent="0.3">
      <c r="A410" s="20"/>
      <c r="B410" s="20"/>
      <c r="C410" s="20"/>
      <c r="D410" s="20"/>
      <c r="E410" s="20"/>
      <c r="F410" s="2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4.25" customHeight="1" x14ac:dyDescent="0.3">
      <c r="A411" s="20"/>
      <c r="B411" s="20"/>
      <c r="C411" s="20"/>
      <c r="D411" s="20"/>
      <c r="E411" s="20"/>
      <c r="F411" s="2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4.25" customHeight="1" x14ac:dyDescent="0.3">
      <c r="A412" s="20"/>
      <c r="B412" s="20"/>
      <c r="C412" s="20"/>
      <c r="D412" s="20"/>
      <c r="E412" s="20"/>
      <c r="F412" s="2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4.25" customHeight="1" x14ac:dyDescent="0.3">
      <c r="A413" s="20"/>
      <c r="B413" s="20"/>
      <c r="C413" s="20"/>
      <c r="D413" s="20"/>
      <c r="E413" s="20"/>
      <c r="F413" s="2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4.25" customHeight="1" x14ac:dyDescent="0.3">
      <c r="A414" s="20"/>
      <c r="B414" s="20"/>
      <c r="C414" s="20"/>
      <c r="D414" s="20"/>
      <c r="E414" s="20"/>
      <c r="F414" s="2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4.25" customHeight="1" x14ac:dyDescent="0.3">
      <c r="A415" s="20"/>
      <c r="B415" s="20"/>
      <c r="C415" s="20"/>
      <c r="D415" s="20"/>
      <c r="E415" s="20"/>
      <c r="F415" s="2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4.25" customHeight="1" x14ac:dyDescent="0.3">
      <c r="A416" s="20"/>
      <c r="B416" s="20"/>
      <c r="C416" s="20"/>
      <c r="D416" s="20"/>
      <c r="E416" s="20"/>
      <c r="F416" s="2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4.25" customHeight="1" x14ac:dyDescent="0.3">
      <c r="A417" s="20"/>
      <c r="B417" s="20"/>
      <c r="C417" s="20"/>
      <c r="D417" s="20"/>
      <c r="E417" s="20"/>
      <c r="F417" s="2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4.25" customHeight="1" x14ac:dyDescent="0.3">
      <c r="A418" s="20"/>
      <c r="B418" s="20"/>
      <c r="C418" s="20"/>
      <c r="D418" s="20"/>
      <c r="E418" s="20"/>
      <c r="F418" s="2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4.25" customHeight="1" x14ac:dyDescent="0.3">
      <c r="A419" s="20"/>
      <c r="B419" s="20"/>
      <c r="C419" s="20"/>
      <c r="D419" s="20"/>
      <c r="E419" s="20"/>
      <c r="F419" s="2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4.25" customHeight="1" x14ac:dyDescent="0.3">
      <c r="A420" s="20"/>
      <c r="B420" s="20"/>
      <c r="C420" s="20"/>
      <c r="D420" s="20"/>
      <c r="E420" s="20"/>
      <c r="F420" s="2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4.25" customHeight="1" x14ac:dyDescent="0.3">
      <c r="A421" s="20"/>
      <c r="B421" s="20"/>
      <c r="C421" s="20"/>
      <c r="D421" s="20"/>
      <c r="E421" s="20"/>
      <c r="F421" s="2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4.25" customHeight="1" x14ac:dyDescent="0.3">
      <c r="A422" s="20"/>
      <c r="B422" s="20"/>
      <c r="C422" s="20"/>
      <c r="D422" s="20"/>
      <c r="E422" s="20"/>
      <c r="F422" s="2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4.25" customHeight="1" x14ac:dyDescent="0.3">
      <c r="A423" s="20"/>
      <c r="B423" s="20"/>
      <c r="C423" s="20"/>
      <c r="D423" s="20"/>
      <c r="E423" s="20"/>
      <c r="F423" s="2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4.25" customHeight="1" x14ac:dyDescent="0.3">
      <c r="A424" s="20"/>
      <c r="B424" s="20"/>
      <c r="C424" s="20"/>
      <c r="D424" s="20"/>
      <c r="E424" s="20"/>
      <c r="F424" s="2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4.25" customHeight="1" x14ac:dyDescent="0.3">
      <c r="A425" s="20"/>
      <c r="B425" s="20"/>
      <c r="C425" s="20"/>
      <c r="D425" s="20"/>
      <c r="E425" s="20"/>
      <c r="F425" s="2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4.25" customHeight="1" x14ac:dyDescent="0.3">
      <c r="A426" s="20"/>
      <c r="B426" s="20"/>
      <c r="C426" s="20"/>
      <c r="D426" s="20"/>
      <c r="E426" s="20"/>
      <c r="F426" s="2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4.25" customHeight="1" x14ac:dyDescent="0.3">
      <c r="A427" s="20"/>
      <c r="B427" s="20"/>
      <c r="C427" s="20"/>
      <c r="D427" s="20"/>
      <c r="E427" s="20"/>
      <c r="F427" s="2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4.25" customHeight="1" x14ac:dyDescent="0.3">
      <c r="A428" s="20"/>
      <c r="B428" s="20"/>
      <c r="C428" s="20"/>
      <c r="D428" s="20"/>
      <c r="E428" s="20"/>
      <c r="F428" s="2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4.25" customHeight="1" x14ac:dyDescent="0.3">
      <c r="A429" s="20"/>
      <c r="B429" s="20"/>
      <c r="C429" s="20"/>
      <c r="D429" s="20"/>
      <c r="E429" s="20"/>
      <c r="F429" s="2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4.25" customHeight="1" x14ac:dyDescent="0.3">
      <c r="A430" s="20"/>
      <c r="B430" s="20"/>
      <c r="C430" s="20"/>
      <c r="D430" s="20"/>
      <c r="E430" s="20"/>
      <c r="F430" s="2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4.25" customHeight="1" x14ac:dyDescent="0.3">
      <c r="A431" s="20"/>
      <c r="B431" s="20"/>
      <c r="C431" s="20"/>
      <c r="D431" s="20"/>
      <c r="E431" s="20"/>
      <c r="F431" s="2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4.25" customHeight="1" x14ac:dyDescent="0.3">
      <c r="A432" s="20"/>
      <c r="B432" s="20"/>
      <c r="C432" s="20"/>
      <c r="D432" s="20"/>
      <c r="E432" s="20"/>
      <c r="F432" s="2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4.25" customHeight="1" x14ac:dyDescent="0.3">
      <c r="A433" s="20"/>
      <c r="B433" s="20"/>
      <c r="C433" s="20"/>
      <c r="D433" s="20"/>
      <c r="E433" s="20"/>
      <c r="F433" s="2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4.25" customHeight="1" x14ac:dyDescent="0.3">
      <c r="A434" s="20"/>
      <c r="B434" s="20"/>
      <c r="C434" s="20"/>
      <c r="D434" s="20"/>
      <c r="E434" s="20"/>
      <c r="F434" s="2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4.25" customHeight="1" x14ac:dyDescent="0.3">
      <c r="A435" s="20"/>
      <c r="B435" s="20"/>
      <c r="C435" s="20"/>
      <c r="D435" s="20"/>
      <c r="E435" s="20"/>
      <c r="F435" s="2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4.25" customHeight="1" x14ac:dyDescent="0.3">
      <c r="A436" s="20"/>
      <c r="B436" s="20"/>
      <c r="C436" s="20"/>
      <c r="D436" s="20"/>
      <c r="E436" s="20"/>
      <c r="F436" s="2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4.25" customHeight="1" x14ac:dyDescent="0.3">
      <c r="A437" s="20"/>
      <c r="B437" s="20"/>
      <c r="C437" s="20"/>
      <c r="D437" s="20"/>
      <c r="E437" s="20"/>
      <c r="F437" s="2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4.25" customHeight="1" x14ac:dyDescent="0.3">
      <c r="A438" s="20"/>
      <c r="B438" s="20"/>
      <c r="C438" s="20"/>
      <c r="D438" s="20"/>
      <c r="E438" s="20"/>
      <c r="F438" s="2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4.25" customHeight="1" x14ac:dyDescent="0.3">
      <c r="A439" s="20"/>
      <c r="B439" s="20"/>
      <c r="C439" s="20"/>
      <c r="D439" s="20"/>
      <c r="E439" s="20"/>
      <c r="F439" s="2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4.25" customHeight="1" x14ac:dyDescent="0.3">
      <c r="A440" s="20"/>
      <c r="B440" s="20"/>
      <c r="C440" s="20"/>
      <c r="D440" s="20"/>
      <c r="E440" s="20"/>
      <c r="F440" s="2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4.25" customHeight="1" x14ac:dyDescent="0.3">
      <c r="A441" s="20"/>
      <c r="B441" s="20"/>
      <c r="C441" s="20"/>
      <c r="D441" s="20"/>
      <c r="E441" s="20"/>
      <c r="F441" s="2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4.25" customHeight="1" x14ac:dyDescent="0.3">
      <c r="A442" s="20"/>
      <c r="B442" s="20"/>
      <c r="C442" s="20"/>
      <c r="D442" s="20"/>
      <c r="E442" s="20"/>
      <c r="F442" s="2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4.25" customHeight="1" x14ac:dyDescent="0.3">
      <c r="A443" s="20"/>
      <c r="B443" s="20"/>
      <c r="C443" s="20"/>
      <c r="D443" s="20"/>
      <c r="E443" s="20"/>
      <c r="F443" s="2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4.25" customHeight="1" x14ac:dyDescent="0.3">
      <c r="A444" s="20"/>
      <c r="B444" s="20"/>
      <c r="C444" s="20"/>
      <c r="D444" s="20"/>
      <c r="E444" s="20"/>
      <c r="F444" s="2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4.25" customHeight="1" x14ac:dyDescent="0.3">
      <c r="A445" s="20"/>
      <c r="B445" s="20"/>
      <c r="C445" s="20"/>
      <c r="D445" s="20"/>
      <c r="E445" s="20"/>
      <c r="F445" s="2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4.25" customHeight="1" x14ac:dyDescent="0.3">
      <c r="A446" s="20"/>
      <c r="B446" s="20"/>
      <c r="C446" s="20"/>
      <c r="D446" s="20"/>
      <c r="E446" s="20"/>
      <c r="F446" s="2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4.25" customHeight="1" x14ac:dyDescent="0.3">
      <c r="A447" s="20"/>
      <c r="B447" s="20"/>
      <c r="C447" s="20"/>
      <c r="D447" s="20"/>
      <c r="E447" s="20"/>
      <c r="F447" s="2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4.25" customHeight="1" x14ac:dyDescent="0.3">
      <c r="A448" s="20"/>
      <c r="B448" s="20"/>
      <c r="C448" s="20"/>
      <c r="D448" s="20"/>
      <c r="E448" s="20"/>
      <c r="F448" s="2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4.25" customHeight="1" x14ac:dyDescent="0.3">
      <c r="A449" s="20"/>
      <c r="B449" s="20"/>
      <c r="C449" s="20"/>
      <c r="D449" s="20"/>
      <c r="E449" s="20"/>
      <c r="F449" s="2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4.25" customHeight="1" x14ac:dyDescent="0.3">
      <c r="A450" s="20"/>
      <c r="B450" s="20"/>
      <c r="C450" s="20"/>
      <c r="D450" s="20"/>
      <c r="E450" s="20"/>
      <c r="F450" s="2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4.25" customHeight="1" x14ac:dyDescent="0.3">
      <c r="A451" s="20"/>
      <c r="B451" s="20"/>
      <c r="C451" s="20"/>
      <c r="D451" s="20"/>
      <c r="E451" s="20"/>
      <c r="F451" s="2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4.25" customHeight="1" x14ac:dyDescent="0.3">
      <c r="A452" s="20"/>
      <c r="B452" s="20"/>
      <c r="C452" s="20"/>
      <c r="D452" s="20"/>
      <c r="E452" s="20"/>
      <c r="F452" s="2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4.25" customHeight="1" x14ac:dyDescent="0.3">
      <c r="A453" s="20"/>
      <c r="B453" s="20"/>
      <c r="C453" s="20"/>
      <c r="D453" s="20"/>
      <c r="E453" s="20"/>
      <c r="F453" s="2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4.25" customHeight="1" x14ac:dyDescent="0.3">
      <c r="A454" s="20"/>
      <c r="B454" s="20"/>
      <c r="C454" s="20"/>
      <c r="D454" s="20"/>
      <c r="E454" s="20"/>
      <c r="F454" s="2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4.25" customHeight="1" x14ac:dyDescent="0.3">
      <c r="A455" s="20"/>
      <c r="B455" s="20"/>
      <c r="C455" s="20"/>
      <c r="D455" s="20"/>
      <c r="E455" s="20"/>
      <c r="F455" s="2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4.25" customHeight="1" x14ac:dyDescent="0.3">
      <c r="A456" s="20"/>
      <c r="B456" s="20"/>
      <c r="C456" s="20"/>
      <c r="D456" s="20"/>
      <c r="E456" s="20"/>
      <c r="F456" s="2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4.25" customHeight="1" x14ac:dyDescent="0.3">
      <c r="A457" s="20"/>
      <c r="B457" s="20"/>
      <c r="C457" s="20"/>
      <c r="D457" s="20"/>
      <c r="E457" s="20"/>
      <c r="F457" s="2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4.25" customHeight="1" x14ac:dyDescent="0.3">
      <c r="A458" s="20"/>
      <c r="B458" s="20"/>
      <c r="C458" s="20"/>
      <c r="D458" s="20"/>
      <c r="E458" s="20"/>
      <c r="F458" s="2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4.25" customHeight="1" x14ac:dyDescent="0.3">
      <c r="A459" s="20"/>
      <c r="B459" s="20"/>
      <c r="C459" s="20"/>
      <c r="D459" s="20"/>
      <c r="E459" s="20"/>
      <c r="F459" s="2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4.25" customHeight="1" x14ac:dyDescent="0.3">
      <c r="A460" s="20"/>
      <c r="B460" s="20"/>
      <c r="C460" s="20"/>
      <c r="D460" s="20"/>
      <c r="E460" s="20"/>
      <c r="F460" s="2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4.25" customHeight="1" x14ac:dyDescent="0.3">
      <c r="A461" s="20"/>
      <c r="B461" s="20"/>
      <c r="C461" s="20"/>
      <c r="D461" s="20"/>
      <c r="E461" s="20"/>
      <c r="F461" s="2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4.25" customHeight="1" x14ac:dyDescent="0.3">
      <c r="A462" s="20"/>
      <c r="B462" s="20"/>
      <c r="C462" s="20"/>
      <c r="D462" s="20"/>
      <c r="E462" s="20"/>
      <c r="F462" s="2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4.25" customHeight="1" x14ac:dyDescent="0.3">
      <c r="A463" s="20"/>
      <c r="B463" s="20"/>
      <c r="C463" s="20"/>
      <c r="D463" s="20"/>
      <c r="E463" s="20"/>
      <c r="F463" s="2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4.25" customHeight="1" x14ac:dyDescent="0.3">
      <c r="A464" s="20"/>
      <c r="B464" s="20"/>
      <c r="C464" s="20"/>
      <c r="D464" s="20"/>
      <c r="E464" s="20"/>
      <c r="F464" s="2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4.25" customHeight="1" x14ac:dyDescent="0.3">
      <c r="A465" s="20"/>
      <c r="B465" s="20"/>
      <c r="C465" s="20"/>
      <c r="D465" s="20"/>
      <c r="E465" s="20"/>
      <c r="F465" s="2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4.25" customHeight="1" x14ac:dyDescent="0.3">
      <c r="A466" s="20"/>
      <c r="B466" s="20"/>
      <c r="C466" s="20"/>
      <c r="D466" s="20"/>
      <c r="E466" s="20"/>
      <c r="F466" s="2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4.25" customHeight="1" x14ac:dyDescent="0.3">
      <c r="A467" s="20"/>
      <c r="B467" s="20"/>
      <c r="C467" s="20"/>
      <c r="D467" s="20"/>
      <c r="E467" s="20"/>
      <c r="F467" s="2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4.25" customHeight="1" x14ac:dyDescent="0.3">
      <c r="A468" s="20"/>
      <c r="B468" s="20"/>
      <c r="C468" s="20"/>
      <c r="D468" s="20"/>
      <c r="E468" s="20"/>
      <c r="F468" s="2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4.25" customHeight="1" x14ac:dyDescent="0.3">
      <c r="A469" s="20"/>
      <c r="B469" s="20"/>
      <c r="C469" s="20"/>
      <c r="D469" s="20"/>
      <c r="E469" s="20"/>
      <c r="F469" s="2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4.25" customHeight="1" x14ac:dyDescent="0.3">
      <c r="A470" s="20"/>
      <c r="B470" s="20"/>
      <c r="C470" s="20"/>
      <c r="D470" s="20"/>
      <c r="E470" s="20"/>
      <c r="F470" s="2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4.25" customHeight="1" x14ac:dyDescent="0.3">
      <c r="A471" s="20"/>
      <c r="B471" s="20"/>
      <c r="C471" s="20"/>
      <c r="D471" s="20"/>
      <c r="E471" s="20"/>
      <c r="F471" s="2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4.25" customHeight="1" x14ac:dyDescent="0.3">
      <c r="A472" s="20"/>
      <c r="B472" s="20"/>
      <c r="C472" s="20"/>
      <c r="D472" s="20"/>
      <c r="E472" s="20"/>
      <c r="F472" s="2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4.25" customHeight="1" x14ac:dyDescent="0.3">
      <c r="A473" s="20"/>
      <c r="B473" s="20"/>
      <c r="C473" s="20"/>
      <c r="D473" s="20"/>
      <c r="E473" s="20"/>
      <c r="F473" s="2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4.25" customHeight="1" x14ac:dyDescent="0.3">
      <c r="A474" s="20"/>
      <c r="B474" s="20"/>
      <c r="C474" s="20"/>
      <c r="D474" s="20"/>
      <c r="E474" s="20"/>
      <c r="F474" s="2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4.25" customHeight="1" x14ac:dyDescent="0.3">
      <c r="A475" s="20"/>
      <c r="B475" s="20"/>
      <c r="C475" s="20"/>
      <c r="D475" s="20"/>
      <c r="E475" s="20"/>
      <c r="F475" s="2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4.25" customHeight="1" x14ac:dyDescent="0.3">
      <c r="A476" s="20"/>
      <c r="B476" s="20"/>
      <c r="C476" s="20"/>
      <c r="D476" s="20"/>
      <c r="E476" s="20"/>
      <c r="F476" s="2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4.25" customHeight="1" x14ac:dyDescent="0.3">
      <c r="A477" s="20"/>
      <c r="B477" s="20"/>
      <c r="C477" s="20"/>
      <c r="D477" s="20"/>
      <c r="E477" s="20"/>
      <c r="F477" s="2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4.25" customHeight="1" x14ac:dyDescent="0.3">
      <c r="A478" s="20"/>
      <c r="B478" s="20"/>
      <c r="C478" s="20"/>
      <c r="D478" s="20"/>
      <c r="E478" s="20"/>
      <c r="F478" s="2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4.25" customHeight="1" x14ac:dyDescent="0.3">
      <c r="A479" s="20"/>
      <c r="B479" s="20"/>
      <c r="C479" s="20"/>
      <c r="D479" s="20"/>
      <c r="E479" s="20"/>
      <c r="F479" s="2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4.25" customHeight="1" x14ac:dyDescent="0.3">
      <c r="A480" s="20"/>
      <c r="B480" s="20"/>
      <c r="C480" s="20"/>
      <c r="D480" s="20"/>
      <c r="E480" s="20"/>
      <c r="F480" s="2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4.25" customHeight="1" x14ac:dyDescent="0.3">
      <c r="A481" s="20"/>
      <c r="B481" s="20"/>
      <c r="C481" s="20"/>
      <c r="D481" s="20"/>
      <c r="E481" s="20"/>
      <c r="F481" s="2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4.25" customHeight="1" x14ac:dyDescent="0.3">
      <c r="A482" s="20"/>
      <c r="B482" s="20"/>
      <c r="C482" s="20"/>
      <c r="D482" s="20"/>
      <c r="E482" s="20"/>
      <c r="F482" s="2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4.25" customHeight="1" x14ac:dyDescent="0.3">
      <c r="A483" s="20"/>
      <c r="B483" s="20"/>
      <c r="C483" s="20"/>
      <c r="D483" s="20"/>
      <c r="E483" s="20"/>
      <c r="F483" s="2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4.25" customHeight="1" x14ac:dyDescent="0.3">
      <c r="A484" s="20"/>
      <c r="B484" s="20"/>
      <c r="C484" s="20"/>
      <c r="D484" s="20"/>
      <c r="E484" s="20"/>
      <c r="F484" s="2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4.25" customHeight="1" x14ac:dyDescent="0.3">
      <c r="A485" s="20"/>
      <c r="B485" s="20"/>
      <c r="C485" s="20"/>
      <c r="D485" s="20"/>
      <c r="E485" s="20"/>
      <c r="F485" s="2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4.25" customHeight="1" x14ac:dyDescent="0.3">
      <c r="A486" s="20"/>
      <c r="B486" s="20"/>
      <c r="C486" s="20"/>
      <c r="D486" s="20"/>
      <c r="E486" s="20"/>
      <c r="F486" s="2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4.25" customHeight="1" x14ac:dyDescent="0.3">
      <c r="A487" s="20"/>
      <c r="B487" s="20"/>
      <c r="C487" s="20"/>
      <c r="D487" s="20"/>
      <c r="E487" s="20"/>
      <c r="F487" s="2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4.25" customHeight="1" x14ac:dyDescent="0.3">
      <c r="A488" s="20"/>
      <c r="B488" s="20"/>
      <c r="C488" s="20"/>
      <c r="D488" s="20"/>
      <c r="E488" s="20"/>
      <c r="F488" s="2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4.25" customHeight="1" x14ac:dyDescent="0.3">
      <c r="A489" s="20"/>
      <c r="B489" s="20"/>
      <c r="C489" s="20"/>
      <c r="D489" s="20"/>
      <c r="E489" s="20"/>
      <c r="F489" s="2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4.25" customHeight="1" x14ac:dyDescent="0.3">
      <c r="A490" s="20"/>
      <c r="B490" s="20"/>
      <c r="C490" s="20"/>
      <c r="D490" s="20"/>
      <c r="E490" s="20"/>
      <c r="F490" s="2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4.25" customHeight="1" x14ac:dyDescent="0.3">
      <c r="A491" s="20"/>
      <c r="B491" s="20"/>
      <c r="C491" s="20"/>
      <c r="D491" s="20"/>
      <c r="E491" s="20"/>
      <c r="F491" s="2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4.25" customHeight="1" x14ac:dyDescent="0.3">
      <c r="A492" s="20"/>
      <c r="B492" s="20"/>
      <c r="C492" s="20"/>
      <c r="D492" s="20"/>
      <c r="E492" s="20"/>
      <c r="F492" s="2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4.25" customHeight="1" x14ac:dyDescent="0.3">
      <c r="A493" s="20"/>
      <c r="B493" s="20"/>
      <c r="C493" s="20"/>
      <c r="D493" s="20"/>
      <c r="E493" s="20"/>
      <c r="F493" s="2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4.25" customHeight="1" x14ac:dyDescent="0.3">
      <c r="A494" s="20"/>
      <c r="B494" s="20"/>
      <c r="C494" s="20"/>
      <c r="D494" s="20"/>
      <c r="E494" s="20"/>
      <c r="F494" s="2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4.25" customHeight="1" x14ac:dyDescent="0.3">
      <c r="A495" s="20"/>
      <c r="B495" s="20"/>
      <c r="C495" s="20"/>
      <c r="D495" s="20"/>
      <c r="E495" s="20"/>
      <c r="F495" s="2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4.25" customHeight="1" x14ac:dyDescent="0.3">
      <c r="A496" s="20"/>
      <c r="B496" s="20"/>
      <c r="C496" s="20"/>
      <c r="D496" s="20"/>
      <c r="E496" s="20"/>
      <c r="F496" s="2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4.25" customHeight="1" x14ac:dyDescent="0.3">
      <c r="A497" s="20"/>
      <c r="B497" s="20"/>
      <c r="C497" s="20"/>
      <c r="D497" s="20"/>
      <c r="E497" s="20"/>
      <c r="F497" s="2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4.25" customHeight="1" x14ac:dyDescent="0.3">
      <c r="A498" s="20"/>
      <c r="B498" s="20"/>
      <c r="C498" s="20"/>
      <c r="D498" s="20"/>
      <c r="E498" s="20"/>
      <c r="F498" s="2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4.25" customHeight="1" x14ac:dyDescent="0.3">
      <c r="A499" s="20"/>
      <c r="B499" s="20"/>
      <c r="C499" s="20"/>
      <c r="D499" s="20"/>
      <c r="E499" s="20"/>
      <c r="F499" s="2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4.25" customHeight="1" x14ac:dyDescent="0.3">
      <c r="A500" s="20"/>
      <c r="B500" s="20"/>
      <c r="C500" s="20"/>
      <c r="D500" s="20"/>
      <c r="E500" s="20"/>
      <c r="F500" s="2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4.25" customHeight="1" x14ac:dyDescent="0.3">
      <c r="A501" s="20"/>
      <c r="B501" s="20"/>
      <c r="C501" s="20"/>
      <c r="D501" s="20"/>
      <c r="E501" s="20"/>
      <c r="F501" s="2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4.25" customHeight="1" x14ac:dyDescent="0.3">
      <c r="A502" s="20"/>
      <c r="B502" s="20"/>
      <c r="C502" s="20"/>
      <c r="D502" s="20"/>
      <c r="E502" s="20"/>
      <c r="F502" s="2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4.25" customHeight="1" x14ac:dyDescent="0.3">
      <c r="A503" s="20"/>
      <c r="B503" s="20"/>
      <c r="C503" s="20"/>
      <c r="D503" s="20"/>
      <c r="E503" s="20"/>
      <c r="F503" s="2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4.25" customHeight="1" x14ac:dyDescent="0.3">
      <c r="A504" s="20"/>
      <c r="B504" s="20"/>
      <c r="C504" s="20"/>
      <c r="D504" s="20"/>
      <c r="E504" s="20"/>
      <c r="F504" s="2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4.25" customHeight="1" x14ac:dyDescent="0.3">
      <c r="A505" s="20"/>
      <c r="B505" s="20"/>
      <c r="C505" s="20"/>
      <c r="D505" s="20"/>
      <c r="E505" s="20"/>
      <c r="F505" s="2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4.25" customHeight="1" x14ac:dyDescent="0.3">
      <c r="A506" s="20"/>
      <c r="B506" s="20"/>
      <c r="C506" s="20"/>
      <c r="D506" s="20"/>
      <c r="E506" s="20"/>
      <c r="F506" s="2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4.25" customHeight="1" x14ac:dyDescent="0.3">
      <c r="A507" s="20"/>
      <c r="B507" s="20"/>
      <c r="C507" s="20"/>
      <c r="D507" s="20"/>
      <c r="E507" s="20"/>
      <c r="F507" s="2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4.25" customHeight="1" x14ac:dyDescent="0.3">
      <c r="A508" s="20"/>
      <c r="B508" s="20"/>
      <c r="C508" s="20"/>
      <c r="D508" s="20"/>
      <c r="E508" s="20"/>
      <c r="F508" s="2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4.25" customHeight="1" x14ac:dyDescent="0.3">
      <c r="A509" s="20"/>
      <c r="B509" s="20"/>
      <c r="C509" s="20"/>
      <c r="D509" s="20"/>
      <c r="E509" s="20"/>
      <c r="F509" s="2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4.25" customHeight="1" x14ac:dyDescent="0.3">
      <c r="A510" s="20"/>
      <c r="B510" s="20"/>
      <c r="C510" s="20"/>
      <c r="D510" s="20"/>
      <c r="E510" s="20"/>
      <c r="F510" s="2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4.25" customHeight="1" x14ac:dyDescent="0.3">
      <c r="A511" s="20"/>
      <c r="B511" s="20"/>
      <c r="C511" s="20"/>
      <c r="D511" s="20"/>
      <c r="E511" s="20"/>
      <c r="F511" s="2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4.25" customHeight="1" x14ac:dyDescent="0.3">
      <c r="A512" s="20"/>
      <c r="B512" s="20"/>
      <c r="C512" s="20"/>
      <c r="D512" s="20"/>
      <c r="E512" s="20"/>
      <c r="F512" s="2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4.25" customHeight="1" x14ac:dyDescent="0.3">
      <c r="A513" s="20"/>
      <c r="B513" s="20"/>
      <c r="C513" s="20"/>
      <c r="D513" s="20"/>
      <c r="E513" s="20"/>
      <c r="F513" s="2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4.25" customHeight="1" x14ac:dyDescent="0.3">
      <c r="A514" s="20"/>
      <c r="B514" s="20"/>
      <c r="C514" s="20"/>
      <c r="D514" s="20"/>
      <c r="E514" s="20"/>
      <c r="F514" s="2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4.25" customHeight="1" x14ac:dyDescent="0.3">
      <c r="A515" s="20"/>
      <c r="B515" s="20"/>
      <c r="C515" s="20"/>
      <c r="D515" s="20"/>
      <c r="E515" s="20"/>
      <c r="F515" s="2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4.25" customHeight="1" x14ac:dyDescent="0.3">
      <c r="A516" s="20"/>
      <c r="B516" s="20"/>
      <c r="C516" s="20"/>
      <c r="D516" s="20"/>
      <c r="E516" s="20"/>
      <c r="F516" s="2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4.25" customHeight="1" x14ac:dyDescent="0.3">
      <c r="A517" s="20"/>
      <c r="B517" s="20"/>
      <c r="C517" s="20"/>
      <c r="D517" s="20"/>
      <c r="E517" s="20"/>
      <c r="F517" s="2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4.25" customHeight="1" x14ac:dyDescent="0.3">
      <c r="A518" s="20"/>
      <c r="B518" s="20"/>
      <c r="C518" s="20"/>
      <c r="D518" s="20"/>
      <c r="E518" s="20"/>
      <c r="F518" s="2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4.25" customHeight="1" x14ac:dyDescent="0.3">
      <c r="A519" s="20"/>
      <c r="B519" s="20"/>
      <c r="C519" s="20"/>
      <c r="D519" s="20"/>
      <c r="E519" s="20"/>
      <c r="F519" s="2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4.25" customHeight="1" x14ac:dyDescent="0.3">
      <c r="A520" s="20"/>
      <c r="B520" s="20"/>
      <c r="C520" s="20"/>
      <c r="D520" s="20"/>
      <c r="E520" s="20"/>
      <c r="F520" s="2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4.25" customHeight="1" x14ac:dyDescent="0.3">
      <c r="A521" s="20"/>
      <c r="B521" s="20"/>
      <c r="C521" s="20"/>
      <c r="D521" s="20"/>
      <c r="E521" s="20"/>
      <c r="F521" s="2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4.25" customHeight="1" x14ac:dyDescent="0.3">
      <c r="A522" s="20"/>
      <c r="B522" s="20"/>
      <c r="C522" s="20"/>
      <c r="D522" s="20"/>
      <c r="E522" s="20"/>
      <c r="F522" s="2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4.25" customHeight="1" x14ac:dyDescent="0.3">
      <c r="A523" s="20"/>
      <c r="B523" s="20"/>
      <c r="C523" s="20"/>
      <c r="D523" s="20"/>
      <c r="E523" s="20"/>
      <c r="F523" s="2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4.25" customHeight="1" x14ac:dyDescent="0.3">
      <c r="A524" s="20"/>
      <c r="B524" s="20"/>
      <c r="C524" s="20"/>
      <c r="D524" s="20"/>
      <c r="E524" s="20"/>
      <c r="F524" s="2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4.25" customHeight="1" x14ac:dyDescent="0.3">
      <c r="A525" s="20"/>
      <c r="B525" s="20"/>
      <c r="C525" s="20"/>
      <c r="D525" s="20"/>
      <c r="E525" s="20"/>
      <c r="F525" s="2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4.25" customHeight="1" x14ac:dyDescent="0.3">
      <c r="A526" s="20"/>
      <c r="B526" s="20"/>
      <c r="C526" s="20"/>
      <c r="D526" s="20"/>
      <c r="E526" s="20"/>
      <c r="F526" s="2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4.25" customHeight="1" x14ac:dyDescent="0.3">
      <c r="A527" s="20"/>
      <c r="B527" s="20"/>
      <c r="C527" s="20"/>
      <c r="D527" s="20"/>
      <c r="E527" s="20"/>
      <c r="F527" s="2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4.25" customHeight="1" x14ac:dyDescent="0.3">
      <c r="A528" s="20"/>
      <c r="B528" s="20"/>
      <c r="C528" s="20"/>
      <c r="D528" s="20"/>
      <c r="E528" s="20"/>
      <c r="F528" s="2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4.25" customHeight="1" x14ac:dyDescent="0.3">
      <c r="A529" s="20"/>
      <c r="B529" s="20"/>
      <c r="C529" s="20"/>
      <c r="D529" s="20"/>
      <c r="E529" s="20"/>
      <c r="F529" s="2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4.25" customHeight="1" x14ac:dyDescent="0.3">
      <c r="A530" s="20"/>
      <c r="B530" s="20"/>
      <c r="C530" s="20"/>
      <c r="D530" s="20"/>
      <c r="E530" s="20"/>
      <c r="F530" s="2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4.25" customHeight="1" x14ac:dyDescent="0.3">
      <c r="A531" s="20"/>
      <c r="B531" s="20"/>
      <c r="C531" s="20"/>
      <c r="D531" s="20"/>
      <c r="E531" s="20"/>
      <c r="F531" s="2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4.25" customHeight="1" x14ac:dyDescent="0.3">
      <c r="A532" s="20"/>
      <c r="B532" s="20"/>
      <c r="C532" s="20"/>
      <c r="D532" s="20"/>
      <c r="E532" s="20"/>
      <c r="F532" s="2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4.25" customHeight="1" x14ac:dyDescent="0.3">
      <c r="A533" s="20"/>
      <c r="B533" s="20"/>
      <c r="C533" s="20"/>
      <c r="D533" s="20"/>
      <c r="E533" s="20"/>
      <c r="F533" s="2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4.25" customHeight="1" x14ac:dyDescent="0.3">
      <c r="A534" s="20"/>
      <c r="B534" s="20"/>
      <c r="C534" s="20"/>
      <c r="D534" s="20"/>
      <c r="E534" s="20"/>
      <c r="F534" s="2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4.25" customHeight="1" x14ac:dyDescent="0.3">
      <c r="A535" s="20"/>
      <c r="B535" s="20"/>
      <c r="C535" s="20"/>
      <c r="D535" s="20"/>
      <c r="E535" s="20"/>
      <c r="F535" s="2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4.25" customHeight="1" x14ac:dyDescent="0.3">
      <c r="A536" s="20"/>
      <c r="B536" s="20"/>
      <c r="C536" s="20"/>
      <c r="D536" s="20"/>
      <c r="E536" s="20"/>
      <c r="F536" s="2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4.25" customHeight="1" x14ac:dyDescent="0.3">
      <c r="A537" s="20"/>
      <c r="B537" s="20"/>
      <c r="C537" s="20"/>
      <c r="D537" s="20"/>
      <c r="E537" s="20"/>
      <c r="F537" s="2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4.25" customHeight="1" x14ac:dyDescent="0.3">
      <c r="A538" s="20"/>
      <c r="B538" s="20"/>
      <c r="C538" s="20"/>
      <c r="D538" s="20"/>
      <c r="E538" s="20"/>
      <c r="F538" s="2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4.25" customHeight="1" x14ac:dyDescent="0.3">
      <c r="A539" s="20"/>
      <c r="B539" s="20"/>
      <c r="C539" s="20"/>
      <c r="D539" s="20"/>
      <c r="E539" s="20"/>
      <c r="F539" s="2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4.25" customHeight="1" x14ac:dyDescent="0.3">
      <c r="A540" s="20"/>
      <c r="B540" s="20"/>
      <c r="C540" s="20"/>
      <c r="D540" s="20"/>
      <c r="E540" s="20"/>
      <c r="F540" s="2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4.25" customHeight="1" x14ac:dyDescent="0.3">
      <c r="A541" s="20"/>
      <c r="B541" s="20"/>
      <c r="C541" s="20"/>
      <c r="D541" s="20"/>
      <c r="E541" s="20"/>
      <c r="F541" s="2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4.25" customHeight="1" x14ac:dyDescent="0.3">
      <c r="A542" s="20"/>
      <c r="B542" s="20"/>
      <c r="C542" s="20"/>
      <c r="D542" s="20"/>
      <c r="E542" s="20"/>
      <c r="F542" s="2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4.25" customHeight="1" x14ac:dyDescent="0.3">
      <c r="A543" s="20"/>
      <c r="B543" s="20"/>
      <c r="C543" s="20"/>
      <c r="D543" s="20"/>
      <c r="E543" s="20"/>
      <c r="F543" s="2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4.25" customHeight="1" x14ac:dyDescent="0.3">
      <c r="A544" s="20"/>
      <c r="B544" s="20"/>
      <c r="C544" s="20"/>
      <c r="D544" s="20"/>
      <c r="E544" s="20"/>
      <c r="F544" s="2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4.25" customHeight="1" x14ac:dyDescent="0.3">
      <c r="A545" s="20"/>
      <c r="B545" s="20"/>
      <c r="C545" s="20"/>
      <c r="D545" s="20"/>
      <c r="E545" s="20"/>
      <c r="F545" s="2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4.25" customHeight="1" x14ac:dyDescent="0.3">
      <c r="A546" s="20"/>
      <c r="B546" s="20"/>
      <c r="C546" s="20"/>
      <c r="D546" s="20"/>
      <c r="E546" s="20"/>
      <c r="F546" s="2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4.25" customHeight="1" x14ac:dyDescent="0.3">
      <c r="A547" s="20"/>
      <c r="B547" s="20"/>
      <c r="C547" s="20"/>
      <c r="D547" s="20"/>
      <c r="E547" s="20"/>
      <c r="F547" s="2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4.25" customHeight="1" x14ac:dyDescent="0.3">
      <c r="A548" s="20"/>
      <c r="B548" s="20"/>
      <c r="C548" s="20"/>
      <c r="D548" s="20"/>
      <c r="E548" s="20"/>
      <c r="F548" s="2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4.25" customHeight="1" x14ac:dyDescent="0.3">
      <c r="A549" s="20"/>
      <c r="B549" s="20"/>
      <c r="C549" s="20"/>
      <c r="D549" s="20"/>
      <c r="E549" s="20"/>
      <c r="F549" s="2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4.25" customHeight="1" x14ac:dyDescent="0.3">
      <c r="A550" s="20"/>
      <c r="B550" s="20"/>
      <c r="C550" s="20"/>
      <c r="D550" s="20"/>
      <c r="E550" s="20"/>
      <c r="F550" s="2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4.25" customHeight="1" x14ac:dyDescent="0.3">
      <c r="A551" s="20"/>
      <c r="B551" s="20"/>
      <c r="C551" s="20"/>
      <c r="D551" s="20"/>
      <c r="E551" s="20"/>
      <c r="F551" s="2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4.25" customHeight="1" x14ac:dyDescent="0.3">
      <c r="A552" s="20"/>
      <c r="B552" s="20"/>
      <c r="C552" s="20"/>
      <c r="D552" s="20"/>
      <c r="E552" s="20"/>
      <c r="F552" s="2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4.25" customHeight="1" x14ac:dyDescent="0.3">
      <c r="A553" s="20"/>
      <c r="B553" s="20"/>
      <c r="C553" s="20"/>
      <c r="D553" s="20"/>
      <c r="E553" s="20"/>
      <c r="F553" s="2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4.25" customHeight="1" x14ac:dyDescent="0.3">
      <c r="A554" s="20"/>
      <c r="B554" s="20"/>
      <c r="C554" s="20"/>
      <c r="D554" s="20"/>
      <c r="E554" s="20"/>
      <c r="F554" s="2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4.25" customHeight="1" x14ac:dyDescent="0.3">
      <c r="A555" s="20"/>
      <c r="B555" s="20"/>
      <c r="C555" s="20"/>
      <c r="D555" s="20"/>
      <c r="E555" s="20"/>
      <c r="F555" s="2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4.25" customHeight="1" x14ac:dyDescent="0.3">
      <c r="A556" s="20"/>
      <c r="B556" s="20"/>
      <c r="C556" s="20"/>
      <c r="D556" s="20"/>
      <c r="E556" s="20"/>
      <c r="F556" s="2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4.25" customHeight="1" x14ac:dyDescent="0.3">
      <c r="A557" s="20"/>
      <c r="B557" s="20"/>
      <c r="C557" s="20"/>
      <c r="D557" s="20"/>
      <c r="E557" s="20"/>
      <c r="F557" s="2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4.25" customHeight="1" x14ac:dyDescent="0.3">
      <c r="A558" s="20"/>
      <c r="B558" s="20"/>
      <c r="C558" s="20"/>
      <c r="D558" s="20"/>
      <c r="E558" s="20"/>
      <c r="F558" s="2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4.25" customHeight="1" x14ac:dyDescent="0.3">
      <c r="A559" s="20"/>
      <c r="B559" s="20"/>
      <c r="C559" s="20"/>
      <c r="D559" s="20"/>
      <c r="E559" s="20"/>
      <c r="F559" s="2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4.25" customHeight="1" x14ac:dyDescent="0.3">
      <c r="A560" s="20"/>
      <c r="B560" s="20"/>
      <c r="C560" s="20"/>
      <c r="D560" s="20"/>
      <c r="E560" s="20"/>
      <c r="F560" s="2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4.25" customHeight="1" x14ac:dyDescent="0.3">
      <c r="A561" s="20"/>
      <c r="B561" s="20"/>
      <c r="C561" s="20"/>
      <c r="D561" s="20"/>
      <c r="E561" s="20"/>
      <c r="F561" s="2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4.25" customHeight="1" x14ac:dyDescent="0.3">
      <c r="A562" s="20"/>
      <c r="B562" s="20"/>
      <c r="C562" s="20"/>
      <c r="D562" s="20"/>
      <c r="E562" s="20"/>
      <c r="F562" s="2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4.25" customHeight="1" x14ac:dyDescent="0.3">
      <c r="A563" s="20"/>
      <c r="B563" s="20"/>
      <c r="C563" s="20"/>
      <c r="D563" s="20"/>
      <c r="E563" s="20"/>
      <c r="F563" s="2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4.25" customHeight="1" x14ac:dyDescent="0.3">
      <c r="A564" s="20"/>
      <c r="B564" s="20"/>
      <c r="C564" s="20"/>
      <c r="D564" s="20"/>
      <c r="E564" s="20"/>
      <c r="F564" s="2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4.25" customHeight="1" x14ac:dyDescent="0.3">
      <c r="A565" s="20"/>
      <c r="B565" s="20"/>
      <c r="C565" s="20"/>
      <c r="D565" s="20"/>
      <c r="E565" s="20"/>
      <c r="F565" s="2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4.25" customHeight="1" x14ac:dyDescent="0.3">
      <c r="A566" s="20"/>
      <c r="B566" s="20"/>
      <c r="C566" s="20"/>
      <c r="D566" s="20"/>
      <c r="E566" s="20"/>
      <c r="F566" s="2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4.25" customHeight="1" x14ac:dyDescent="0.3">
      <c r="A567" s="20"/>
      <c r="B567" s="20"/>
      <c r="C567" s="20"/>
      <c r="D567" s="20"/>
      <c r="E567" s="20"/>
      <c r="F567" s="2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4.25" customHeight="1" x14ac:dyDescent="0.3">
      <c r="A568" s="20"/>
      <c r="B568" s="20"/>
      <c r="C568" s="20"/>
      <c r="D568" s="20"/>
      <c r="E568" s="20"/>
      <c r="F568" s="2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4.25" customHeight="1" x14ac:dyDescent="0.3">
      <c r="A569" s="20"/>
      <c r="B569" s="20"/>
      <c r="C569" s="20"/>
      <c r="D569" s="20"/>
      <c r="E569" s="20"/>
      <c r="F569" s="2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4.25" customHeight="1" x14ac:dyDescent="0.3">
      <c r="A570" s="20"/>
      <c r="B570" s="20"/>
      <c r="C570" s="20"/>
      <c r="D570" s="20"/>
      <c r="E570" s="20"/>
      <c r="F570" s="2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4.25" customHeight="1" x14ac:dyDescent="0.3">
      <c r="A571" s="20"/>
      <c r="B571" s="20"/>
      <c r="C571" s="20"/>
      <c r="D571" s="20"/>
      <c r="E571" s="20"/>
      <c r="F571" s="2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4.25" customHeight="1" x14ac:dyDescent="0.3">
      <c r="A572" s="20"/>
      <c r="B572" s="20"/>
      <c r="C572" s="20"/>
      <c r="D572" s="20"/>
      <c r="E572" s="20"/>
      <c r="F572" s="2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4.25" customHeight="1" x14ac:dyDescent="0.3">
      <c r="A573" s="20"/>
      <c r="B573" s="20"/>
      <c r="C573" s="20"/>
      <c r="D573" s="20"/>
      <c r="E573" s="20"/>
      <c r="F573" s="2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4.25" customHeight="1" x14ac:dyDescent="0.3">
      <c r="A574" s="20"/>
      <c r="B574" s="20"/>
      <c r="C574" s="20"/>
      <c r="D574" s="20"/>
      <c r="E574" s="20"/>
      <c r="F574" s="2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4.25" customHeight="1" x14ac:dyDescent="0.3">
      <c r="A575" s="20"/>
      <c r="B575" s="20"/>
      <c r="C575" s="20"/>
      <c r="D575" s="20"/>
      <c r="E575" s="20"/>
      <c r="F575" s="2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4.25" customHeight="1" x14ac:dyDescent="0.3">
      <c r="A576" s="20"/>
      <c r="B576" s="20"/>
      <c r="C576" s="20"/>
      <c r="D576" s="20"/>
      <c r="E576" s="20"/>
      <c r="F576" s="2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4.25" customHeight="1" x14ac:dyDescent="0.3">
      <c r="A577" s="20"/>
      <c r="B577" s="20"/>
      <c r="C577" s="20"/>
      <c r="D577" s="20"/>
      <c r="E577" s="20"/>
      <c r="F577" s="2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4.25" customHeight="1" x14ac:dyDescent="0.3">
      <c r="A578" s="20"/>
      <c r="B578" s="20"/>
      <c r="C578" s="20"/>
      <c r="D578" s="20"/>
      <c r="E578" s="20"/>
      <c r="F578" s="2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4.25" customHeight="1" x14ac:dyDescent="0.3">
      <c r="A579" s="20"/>
      <c r="B579" s="20"/>
      <c r="C579" s="20"/>
      <c r="D579" s="20"/>
      <c r="E579" s="20"/>
      <c r="F579" s="2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4.25" customHeight="1" x14ac:dyDescent="0.3">
      <c r="A580" s="20"/>
      <c r="B580" s="20"/>
      <c r="C580" s="20"/>
      <c r="D580" s="20"/>
      <c r="E580" s="20"/>
      <c r="F580" s="2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4.25" customHeight="1" x14ac:dyDescent="0.3">
      <c r="A581" s="20"/>
      <c r="B581" s="20"/>
      <c r="C581" s="20"/>
      <c r="D581" s="20"/>
      <c r="E581" s="20"/>
      <c r="F581" s="2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4.25" customHeight="1" x14ac:dyDescent="0.3">
      <c r="A582" s="20"/>
      <c r="B582" s="20"/>
      <c r="C582" s="20"/>
      <c r="D582" s="20"/>
      <c r="E582" s="20"/>
      <c r="F582" s="2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4.25" customHeight="1" x14ac:dyDescent="0.3">
      <c r="A583" s="20"/>
      <c r="B583" s="20"/>
      <c r="C583" s="20"/>
      <c r="D583" s="20"/>
      <c r="E583" s="20"/>
      <c r="F583" s="2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4.25" customHeight="1" x14ac:dyDescent="0.3">
      <c r="A584" s="20"/>
      <c r="B584" s="20"/>
      <c r="C584" s="20"/>
      <c r="D584" s="20"/>
      <c r="E584" s="20"/>
      <c r="F584" s="2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4.25" customHeight="1" x14ac:dyDescent="0.3">
      <c r="A585" s="20"/>
      <c r="B585" s="20"/>
      <c r="C585" s="20"/>
      <c r="D585" s="20"/>
      <c r="E585" s="20"/>
      <c r="F585" s="2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4.25" customHeight="1" x14ac:dyDescent="0.3">
      <c r="A586" s="20"/>
      <c r="B586" s="20"/>
      <c r="C586" s="20"/>
      <c r="D586" s="20"/>
      <c r="E586" s="20"/>
      <c r="F586" s="2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4.25" customHeight="1" x14ac:dyDescent="0.3">
      <c r="A587" s="20"/>
      <c r="B587" s="20"/>
      <c r="C587" s="20"/>
      <c r="D587" s="20"/>
      <c r="E587" s="20"/>
      <c r="F587" s="2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4.25" customHeight="1" x14ac:dyDescent="0.3">
      <c r="A588" s="20"/>
      <c r="B588" s="20"/>
      <c r="C588" s="20"/>
      <c r="D588" s="20"/>
      <c r="E588" s="20"/>
      <c r="F588" s="2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4.25" customHeight="1" x14ac:dyDescent="0.3">
      <c r="A589" s="20"/>
      <c r="B589" s="20"/>
      <c r="C589" s="20"/>
      <c r="D589" s="20"/>
      <c r="E589" s="20"/>
      <c r="F589" s="2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4.25" customHeight="1" x14ac:dyDescent="0.3">
      <c r="A590" s="20"/>
      <c r="B590" s="20"/>
      <c r="C590" s="20"/>
      <c r="D590" s="20"/>
      <c r="E590" s="20"/>
      <c r="F590" s="2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4.25" customHeight="1" x14ac:dyDescent="0.3">
      <c r="A591" s="20"/>
      <c r="B591" s="20"/>
      <c r="C591" s="20"/>
      <c r="D591" s="20"/>
      <c r="E591" s="20"/>
      <c r="F591" s="2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4.25" customHeight="1" x14ac:dyDescent="0.3">
      <c r="A592" s="20"/>
      <c r="B592" s="20"/>
      <c r="C592" s="20"/>
      <c r="D592" s="20"/>
      <c r="E592" s="20"/>
      <c r="F592" s="2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4.25" customHeight="1" x14ac:dyDescent="0.3">
      <c r="A593" s="20"/>
      <c r="B593" s="20"/>
      <c r="C593" s="20"/>
      <c r="D593" s="20"/>
      <c r="E593" s="20"/>
      <c r="F593" s="2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4.25" customHeight="1" x14ac:dyDescent="0.3">
      <c r="A594" s="20"/>
      <c r="B594" s="20"/>
      <c r="C594" s="20"/>
      <c r="D594" s="20"/>
      <c r="E594" s="20"/>
      <c r="F594" s="2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4.25" customHeight="1" x14ac:dyDescent="0.3">
      <c r="A595" s="20"/>
      <c r="B595" s="20"/>
      <c r="C595" s="20"/>
      <c r="D595" s="20"/>
      <c r="E595" s="20"/>
      <c r="F595" s="2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4.25" customHeight="1" x14ac:dyDescent="0.3">
      <c r="A596" s="20"/>
      <c r="B596" s="20"/>
      <c r="C596" s="20"/>
      <c r="D596" s="20"/>
      <c r="E596" s="20"/>
      <c r="F596" s="2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4.25" customHeight="1" x14ac:dyDescent="0.3">
      <c r="A597" s="20"/>
      <c r="B597" s="20"/>
      <c r="C597" s="20"/>
      <c r="D597" s="20"/>
      <c r="E597" s="20"/>
      <c r="F597" s="2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4.25" customHeight="1" x14ac:dyDescent="0.3">
      <c r="A598" s="20"/>
      <c r="B598" s="20"/>
      <c r="C598" s="20"/>
      <c r="D598" s="20"/>
      <c r="E598" s="20"/>
      <c r="F598" s="2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4.25" customHeight="1" x14ac:dyDescent="0.3">
      <c r="A599" s="20"/>
      <c r="B599" s="20"/>
      <c r="C599" s="20"/>
      <c r="D599" s="20"/>
      <c r="E599" s="20"/>
      <c r="F599" s="2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4.25" customHeight="1" x14ac:dyDescent="0.3">
      <c r="A600" s="20"/>
      <c r="B600" s="20"/>
      <c r="C600" s="20"/>
      <c r="D600" s="20"/>
      <c r="E600" s="20"/>
      <c r="F600" s="2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4.25" customHeight="1" x14ac:dyDescent="0.3">
      <c r="A601" s="20"/>
      <c r="B601" s="20"/>
      <c r="C601" s="20"/>
      <c r="D601" s="20"/>
      <c r="E601" s="20"/>
      <c r="F601" s="2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4.25" customHeight="1" x14ac:dyDescent="0.3">
      <c r="A602" s="20"/>
      <c r="B602" s="20"/>
      <c r="C602" s="20"/>
      <c r="D602" s="20"/>
      <c r="E602" s="20"/>
      <c r="F602" s="2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4.25" customHeight="1" x14ac:dyDescent="0.3">
      <c r="A603" s="20"/>
      <c r="B603" s="20"/>
      <c r="C603" s="20"/>
      <c r="D603" s="20"/>
      <c r="E603" s="20"/>
      <c r="F603" s="2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4.25" customHeight="1" x14ac:dyDescent="0.3">
      <c r="A604" s="20"/>
      <c r="B604" s="20"/>
      <c r="C604" s="20"/>
      <c r="D604" s="20"/>
      <c r="E604" s="20"/>
      <c r="F604" s="2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4.25" customHeight="1" x14ac:dyDescent="0.3">
      <c r="A605" s="20"/>
      <c r="B605" s="20"/>
      <c r="C605" s="20"/>
      <c r="D605" s="20"/>
      <c r="E605" s="20"/>
      <c r="F605" s="2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4.25" customHeight="1" x14ac:dyDescent="0.3">
      <c r="A606" s="20"/>
      <c r="B606" s="20"/>
      <c r="C606" s="20"/>
      <c r="D606" s="20"/>
      <c r="E606" s="20"/>
      <c r="F606" s="2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4.25" customHeight="1" x14ac:dyDescent="0.3">
      <c r="A607" s="20"/>
      <c r="B607" s="20"/>
      <c r="C607" s="20"/>
      <c r="D607" s="20"/>
      <c r="E607" s="20"/>
      <c r="F607" s="2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4.25" customHeight="1" x14ac:dyDescent="0.3">
      <c r="A608" s="20"/>
      <c r="B608" s="20"/>
      <c r="C608" s="20"/>
      <c r="D608" s="20"/>
      <c r="E608" s="20"/>
      <c r="F608" s="2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4.25" customHeight="1" x14ac:dyDescent="0.3">
      <c r="A609" s="20"/>
      <c r="B609" s="20"/>
      <c r="C609" s="20"/>
      <c r="D609" s="20"/>
      <c r="E609" s="20"/>
      <c r="F609" s="2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4.25" customHeight="1" x14ac:dyDescent="0.3">
      <c r="A610" s="20"/>
      <c r="B610" s="20"/>
      <c r="C610" s="20"/>
      <c r="D610" s="20"/>
      <c r="E610" s="20"/>
      <c r="F610" s="2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4.25" customHeight="1" x14ac:dyDescent="0.3">
      <c r="A611" s="20"/>
      <c r="B611" s="20"/>
      <c r="C611" s="20"/>
      <c r="D611" s="20"/>
      <c r="E611" s="20"/>
      <c r="F611" s="2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4.25" customHeight="1" x14ac:dyDescent="0.3">
      <c r="A612" s="20"/>
      <c r="B612" s="20"/>
      <c r="C612" s="20"/>
      <c r="D612" s="20"/>
      <c r="E612" s="20"/>
      <c r="F612" s="2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4.25" customHeight="1" x14ac:dyDescent="0.3">
      <c r="A613" s="20"/>
      <c r="B613" s="20"/>
      <c r="C613" s="20"/>
      <c r="D613" s="20"/>
      <c r="E613" s="20"/>
      <c r="F613" s="2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4.25" customHeight="1" x14ac:dyDescent="0.3">
      <c r="A614" s="20"/>
      <c r="B614" s="20"/>
      <c r="C614" s="20"/>
      <c r="D614" s="20"/>
      <c r="E614" s="20"/>
      <c r="F614" s="2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4.25" customHeight="1" x14ac:dyDescent="0.3">
      <c r="A615" s="20"/>
      <c r="B615" s="20"/>
      <c r="C615" s="20"/>
      <c r="D615" s="20"/>
      <c r="E615" s="20"/>
      <c r="F615" s="2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4.25" customHeight="1" x14ac:dyDescent="0.3">
      <c r="A616" s="20"/>
      <c r="B616" s="20"/>
      <c r="C616" s="20"/>
      <c r="D616" s="20"/>
      <c r="E616" s="20"/>
      <c r="F616" s="2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4.25" customHeight="1" x14ac:dyDescent="0.3">
      <c r="A617" s="20"/>
      <c r="B617" s="20"/>
      <c r="C617" s="20"/>
      <c r="D617" s="20"/>
      <c r="E617" s="20"/>
      <c r="F617" s="2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4.25" customHeight="1" x14ac:dyDescent="0.3">
      <c r="A618" s="20"/>
      <c r="B618" s="20"/>
      <c r="C618" s="20"/>
      <c r="D618" s="20"/>
      <c r="E618" s="20"/>
      <c r="F618" s="2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4.25" customHeight="1" x14ac:dyDescent="0.3">
      <c r="A619" s="20"/>
      <c r="B619" s="20"/>
      <c r="C619" s="20"/>
      <c r="D619" s="20"/>
      <c r="E619" s="20"/>
      <c r="F619" s="2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4.25" customHeight="1" x14ac:dyDescent="0.3">
      <c r="A620" s="20"/>
      <c r="B620" s="20"/>
      <c r="C620" s="20"/>
      <c r="D620" s="20"/>
      <c r="E620" s="20"/>
      <c r="F620" s="2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4.25" customHeight="1" x14ac:dyDescent="0.3">
      <c r="A621" s="20"/>
      <c r="B621" s="20"/>
      <c r="C621" s="20"/>
      <c r="D621" s="20"/>
      <c r="E621" s="20"/>
      <c r="F621" s="2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4.25" customHeight="1" x14ac:dyDescent="0.3">
      <c r="A622" s="20"/>
      <c r="B622" s="20"/>
      <c r="C622" s="20"/>
      <c r="D622" s="20"/>
      <c r="E622" s="20"/>
      <c r="F622" s="2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4.25" customHeight="1" x14ac:dyDescent="0.3">
      <c r="A623" s="20"/>
      <c r="B623" s="20"/>
      <c r="C623" s="20"/>
      <c r="D623" s="20"/>
      <c r="E623" s="20"/>
      <c r="F623" s="2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4.25" customHeight="1" x14ac:dyDescent="0.3">
      <c r="A624" s="20"/>
      <c r="B624" s="20"/>
      <c r="C624" s="20"/>
      <c r="D624" s="20"/>
      <c r="E624" s="20"/>
      <c r="F624" s="2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4.25" customHeight="1" x14ac:dyDescent="0.3">
      <c r="A625" s="20"/>
      <c r="B625" s="20"/>
      <c r="C625" s="20"/>
      <c r="D625" s="20"/>
      <c r="E625" s="20"/>
      <c r="F625" s="2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4.25" customHeight="1" x14ac:dyDescent="0.3">
      <c r="A626" s="20"/>
      <c r="B626" s="20"/>
      <c r="C626" s="20"/>
      <c r="D626" s="20"/>
      <c r="E626" s="20"/>
      <c r="F626" s="2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4.25" customHeight="1" x14ac:dyDescent="0.3">
      <c r="A627" s="20"/>
      <c r="B627" s="20"/>
      <c r="C627" s="20"/>
      <c r="D627" s="20"/>
      <c r="E627" s="20"/>
      <c r="F627" s="2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4.25" customHeight="1" x14ac:dyDescent="0.3">
      <c r="A628" s="20"/>
      <c r="B628" s="20"/>
      <c r="C628" s="20"/>
      <c r="D628" s="20"/>
      <c r="E628" s="20"/>
      <c r="F628" s="2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4.25" customHeight="1" x14ac:dyDescent="0.3">
      <c r="A629" s="20"/>
      <c r="B629" s="20"/>
      <c r="C629" s="20"/>
      <c r="D629" s="20"/>
      <c r="E629" s="20"/>
      <c r="F629" s="2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4.25" customHeight="1" x14ac:dyDescent="0.3">
      <c r="A630" s="20"/>
      <c r="B630" s="20"/>
      <c r="C630" s="20"/>
      <c r="D630" s="20"/>
      <c r="E630" s="20"/>
      <c r="F630" s="2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4.25" customHeight="1" x14ac:dyDescent="0.3">
      <c r="A631" s="20"/>
      <c r="B631" s="20"/>
      <c r="C631" s="20"/>
      <c r="D631" s="20"/>
      <c r="E631" s="20"/>
      <c r="F631" s="2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4.25" customHeight="1" x14ac:dyDescent="0.3">
      <c r="A632" s="20"/>
      <c r="B632" s="20"/>
      <c r="C632" s="20"/>
      <c r="D632" s="20"/>
      <c r="E632" s="20"/>
      <c r="F632" s="2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4.25" customHeight="1" x14ac:dyDescent="0.3">
      <c r="A633" s="20"/>
      <c r="B633" s="20"/>
      <c r="C633" s="20"/>
      <c r="D633" s="20"/>
      <c r="E633" s="20"/>
      <c r="F633" s="2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4.25" customHeight="1" x14ac:dyDescent="0.3">
      <c r="A634" s="20"/>
      <c r="B634" s="20"/>
      <c r="C634" s="20"/>
      <c r="D634" s="20"/>
      <c r="E634" s="20"/>
      <c r="F634" s="2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4.25" customHeight="1" x14ac:dyDescent="0.3">
      <c r="A635" s="20"/>
      <c r="B635" s="20"/>
      <c r="C635" s="20"/>
      <c r="D635" s="20"/>
      <c r="E635" s="20"/>
      <c r="F635" s="2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4.25" customHeight="1" x14ac:dyDescent="0.3">
      <c r="A636" s="20"/>
      <c r="B636" s="20"/>
      <c r="C636" s="20"/>
      <c r="D636" s="20"/>
      <c r="E636" s="20"/>
      <c r="F636" s="2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4.25" customHeight="1" x14ac:dyDescent="0.3">
      <c r="A637" s="20"/>
      <c r="B637" s="20"/>
      <c r="C637" s="20"/>
      <c r="D637" s="20"/>
      <c r="E637" s="20"/>
      <c r="F637" s="2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4.25" customHeight="1" x14ac:dyDescent="0.3">
      <c r="A638" s="20"/>
      <c r="B638" s="20"/>
      <c r="C638" s="20"/>
      <c r="D638" s="20"/>
      <c r="E638" s="20"/>
      <c r="F638" s="2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4.25" customHeight="1" x14ac:dyDescent="0.3">
      <c r="A639" s="20"/>
      <c r="B639" s="20"/>
      <c r="C639" s="20"/>
      <c r="D639" s="20"/>
      <c r="E639" s="20"/>
      <c r="F639" s="2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4.25" customHeight="1" x14ac:dyDescent="0.3">
      <c r="A640" s="20"/>
      <c r="B640" s="20"/>
      <c r="C640" s="20"/>
      <c r="D640" s="20"/>
      <c r="E640" s="20"/>
      <c r="F640" s="2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4.25" customHeight="1" x14ac:dyDescent="0.3">
      <c r="A641" s="20"/>
      <c r="B641" s="20"/>
      <c r="C641" s="20"/>
      <c r="D641" s="20"/>
      <c r="E641" s="20"/>
      <c r="F641" s="2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4.25" customHeight="1" x14ac:dyDescent="0.3">
      <c r="A642" s="20"/>
      <c r="B642" s="20"/>
      <c r="C642" s="20"/>
      <c r="D642" s="20"/>
      <c r="E642" s="20"/>
      <c r="F642" s="2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4.25" customHeight="1" x14ac:dyDescent="0.3">
      <c r="A643" s="20"/>
      <c r="B643" s="20"/>
      <c r="C643" s="20"/>
      <c r="D643" s="20"/>
      <c r="E643" s="20"/>
      <c r="F643" s="2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4.25" customHeight="1" x14ac:dyDescent="0.3">
      <c r="A644" s="20"/>
      <c r="B644" s="20"/>
      <c r="C644" s="20"/>
      <c r="D644" s="20"/>
      <c r="E644" s="20"/>
      <c r="F644" s="2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4.25" customHeight="1" x14ac:dyDescent="0.3">
      <c r="A645" s="20"/>
      <c r="B645" s="20"/>
      <c r="C645" s="20"/>
      <c r="D645" s="20"/>
      <c r="E645" s="20"/>
      <c r="F645" s="2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4.25" customHeight="1" x14ac:dyDescent="0.3">
      <c r="A646" s="20"/>
      <c r="B646" s="20"/>
      <c r="C646" s="20"/>
      <c r="D646" s="20"/>
      <c r="E646" s="20"/>
      <c r="F646" s="2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4.25" customHeight="1" x14ac:dyDescent="0.3">
      <c r="A647" s="20"/>
      <c r="B647" s="20"/>
      <c r="C647" s="20"/>
      <c r="D647" s="20"/>
      <c r="E647" s="20"/>
      <c r="F647" s="2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4.25" customHeight="1" x14ac:dyDescent="0.3">
      <c r="A648" s="20"/>
      <c r="B648" s="20"/>
      <c r="C648" s="20"/>
      <c r="D648" s="20"/>
      <c r="E648" s="20"/>
      <c r="F648" s="2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4.25" customHeight="1" x14ac:dyDescent="0.3">
      <c r="A649" s="20"/>
      <c r="B649" s="20"/>
      <c r="C649" s="20"/>
      <c r="D649" s="20"/>
      <c r="E649" s="20"/>
      <c r="F649" s="2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4.25" customHeight="1" x14ac:dyDescent="0.3">
      <c r="A650" s="20"/>
      <c r="B650" s="20"/>
      <c r="C650" s="20"/>
      <c r="D650" s="20"/>
      <c r="E650" s="20"/>
      <c r="F650" s="2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4.25" customHeight="1" x14ac:dyDescent="0.3">
      <c r="A651" s="20"/>
      <c r="B651" s="20"/>
      <c r="C651" s="20"/>
      <c r="D651" s="20"/>
      <c r="E651" s="20"/>
      <c r="F651" s="2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4.25" customHeight="1" x14ac:dyDescent="0.3">
      <c r="A652" s="20"/>
      <c r="B652" s="20"/>
      <c r="C652" s="20"/>
      <c r="D652" s="20"/>
      <c r="E652" s="20"/>
      <c r="F652" s="2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4.25" customHeight="1" x14ac:dyDescent="0.3">
      <c r="A653" s="20"/>
      <c r="B653" s="20"/>
      <c r="C653" s="20"/>
      <c r="D653" s="20"/>
      <c r="E653" s="20"/>
      <c r="F653" s="2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4.25" customHeight="1" x14ac:dyDescent="0.3">
      <c r="A654" s="20"/>
      <c r="B654" s="20"/>
      <c r="C654" s="20"/>
      <c r="D654" s="20"/>
      <c r="E654" s="20"/>
      <c r="F654" s="2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4.25" customHeight="1" x14ac:dyDescent="0.3">
      <c r="A655" s="20"/>
      <c r="B655" s="20"/>
      <c r="C655" s="20"/>
      <c r="D655" s="20"/>
      <c r="E655" s="20"/>
      <c r="F655" s="2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4.25" customHeight="1" x14ac:dyDescent="0.3">
      <c r="A656" s="20"/>
      <c r="B656" s="20"/>
      <c r="C656" s="20"/>
      <c r="D656" s="20"/>
      <c r="E656" s="20"/>
      <c r="F656" s="2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4.25" customHeight="1" x14ac:dyDescent="0.3">
      <c r="A657" s="20"/>
      <c r="B657" s="20"/>
      <c r="C657" s="20"/>
      <c r="D657" s="20"/>
      <c r="E657" s="20"/>
      <c r="F657" s="2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4.25" customHeight="1" x14ac:dyDescent="0.3">
      <c r="A658" s="20"/>
      <c r="B658" s="20"/>
      <c r="C658" s="20"/>
      <c r="D658" s="20"/>
      <c r="E658" s="20"/>
      <c r="F658" s="2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4.25" customHeight="1" x14ac:dyDescent="0.3">
      <c r="A659" s="20"/>
      <c r="B659" s="20"/>
      <c r="C659" s="20"/>
      <c r="D659" s="20"/>
      <c r="E659" s="20"/>
      <c r="F659" s="2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4.25" customHeight="1" x14ac:dyDescent="0.3">
      <c r="A660" s="20"/>
      <c r="B660" s="20"/>
      <c r="C660" s="20"/>
      <c r="D660" s="20"/>
      <c r="E660" s="20"/>
      <c r="F660" s="2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4.25" customHeight="1" x14ac:dyDescent="0.3">
      <c r="A661" s="20"/>
      <c r="B661" s="20"/>
      <c r="C661" s="20"/>
      <c r="D661" s="20"/>
      <c r="E661" s="20"/>
      <c r="F661" s="2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4.25" customHeight="1" x14ac:dyDescent="0.3">
      <c r="A662" s="20"/>
      <c r="B662" s="20"/>
      <c r="C662" s="20"/>
      <c r="D662" s="20"/>
      <c r="E662" s="20"/>
      <c r="F662" s="2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4.25" customHeight="1" x14ac:dyDescent="0.3">
      <c r="A663" s="20"/>
      <c r="B663" s="20"/>
      <c r="C663" s="20"/>
      <c r="D663" s="20"/>
      <c r="E663" s="20"/>
      <c r="F663" s="2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4.25" customHeight="1" x14ac:dyDescent="0.3">
      <c r="A664" s="20"/>
      <c r="B664" s="20"/>
      <c r="C664" s="20"/>
      <c r="D664" s="20"/>
      <c r="E664" s="20"/>
      <c r="F664" s="2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4.25" customHeight="1" x14ac:dyDescent="0.3">
      <c r="A665" s="20"/>
      <c r="B665" s="20"/>
      <c r="C665" s="20"/>
      <c r="D665" s="20"/>
      <c r="E665" s="20"/>
      <c r="F665" s="2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4.25" customHeight="1" x14ac:dyDescent="0.3">
      <c r="A666" s="20"/>
      <c r="B666" s="20"/>
      <c r="C666" s="20"/>
      <c r="D666" s="20"/>
      <c r="E666" s="20"/>
      <c r="F666" s="2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4.25" customHeight="1" x14ac:dyDescent="0.3">
      <c r="A667" s="20"/>
      <c r="B667" s="20"/>
      <c r="C667" s="20"/>
      <c r="D667" s="20"/>
      <c r="E667" s="20"/>
      <c r="F667" s="2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4.25" customHeight="1" x14ac:dyDescent="0.3">
      <c r="A668" s="20"/>
      <c r="B668" s="20"/>
      <c r="C668" s="20"/>
      <c r="D668" s="20"/>
      <c r="E668" s="20"/>
      <c r="F668" s="2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4.25" customHeight="1" x14ac:dyDescent="0.3">
      <c r="A669" s="20"/>
      <c r="B669" s="20"/>
      <c r="C669" s="20"/>
      <c r="D669" s="20"/>
      <c r="E669" s="20"/>
      <c r="F669" s="2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4.25" customHeight="1" x14ac:dyDescent="0.3">
      <c r="A670" s="20"/>
      <c r="B670" s="20"/>
      <c r="C670" s="20"/>
      <c r="D670" s="20"/>
      <c r="E670" s="20"/>
      <c r="F670" s="2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4.25" customHeight="1" x14ac:dyDescent="0.3">
      <c r="A671" s="20"/>
      <c r="B671" s="20"/>
      <c r="C671" s="20"/>
      <c r="D671" s="20"/>
      <c r="E671" s="20"/>
      <c r="F671" s="2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4.25" customHeight="1" x14ac:dyDescent="0.3">
      <c r="A672" s="20"/>
      <c r="B672" s="20"/>
      <c r="C672" s="20"/>
      <c r="D672" s="20"/>
      <c r="E672" s="20"/>
      <c r="F672" s="2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4.25" customHeight="1" x14ac:dyDescent="0.3">
      <c r="A673" s="20"/>
      <c r="B673" s="20"/>
      <c r="C673" s="20"/>
      <c r="D673" s="20"/>
      <c r="E673" s="20"/>
      <c r="F673" s="2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4.25" customHeight="1" x14ac:dyDescent="0.3">
      <c r="A674" s="20"/>
      <c r="B674" s="20"/>
      <c r="C674" s="20"/>
      <c r="D674" s="20"/>
      <c r="E674" s="20"/>
      <c r="F674" s="2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4.25" customHeight="1" x14ac:dyDescent="0.3">
      <c r="A675" s="20"/>
      <c r="B675" s="20"/>
      <c r="C675" s="20"/>
      <c r="D675" s="20"/>
      <c r="E675" s="20"/>
      <c r="F675" s="2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4.25" customHeight="1" x14ac:dyDescent="0.3">
      <c r="A676" s="20"/>
      <c r="B676" s="20"/>
      <c r="C676" s="20"/>
      <c r="D676" s="20"/>
      <c r="E676" s="20"/>
      <c r="F676" s="2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4.25" customHeight="1" x14ac:dyDescent="0.3">
      <c r="A677" s="20"/>
      <c r="B677" s="20"/>
      <c r="C677" s="20"/>
      <c r="D677" s="20"/>
      <c r="E677" s="20"/>
      <c r="F677" s="2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4.25" customHeight="1" x14ac:dyDescent="0.3">
      <c r="A678" s="20"/>
      <c r="B678" s="20"/>
      <c r="C678" s="20"/>
      <c r="D678" s="20"/>
      <c r="E678" s="20"/>
      <c r="F678" s="2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4.25" customHeight="1" x14ac:dyDescent="0.3">
      <c r="A679" s="20"/>
      <c r="B679" s="20"/>
      <c r="C679" s="20"/>
      <c r="D679" s="20"/>
      <c r="E679" s="20"/>
      <c r="F679" s="2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4.25" customHeight="1" x14ac:dyDescent="0.3">
      <c r="A680" s="20"/>
      <c r="B680" s="20"/>
      <c r="C680" s="20"/>
      <c r="D680" s="20"/>
      <c r="E680" s="20"/>
      <c r="F680" s="2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4.25" customHeight="1" x14ac:dyDescent="0.3">
      <c r="A681" s="20"/>
      <c r="B681" s="20"/>
      <c r="C681" s="20"/>
      <c r="D681" s="20"/>
      <c r="E681" s="20"/>
      <c r="F681" s="2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4.25" customHeight="1" x14ac:dyDescent="0.3">
      <c r="A682" s="20"/>
      <c r="B682" s="20"/>
      <c r="C682" s="20"/>
      <c r="D682" s="20"/>
      <c r="E682" s="20"/>
      <c r="F682" s="2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4.25" customHeight="1" x14ac:dyDescent="0.3">
      <c r="A683" s="20"/>
      <c r="B683" s="20"/>
      <c r="C683" s="20"/>
      <c r="D683" s="20"/>
      <c r="E683" s="20"/>
      <c r="F683" s="2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4.25" customHeight="1" x14ac:dyDescent="0.3">
      <c r="A684" s="20"/>
      <c r="B684" s="20"/>
      <c r="C684" s="20"/>
      <c r="D684" s="20"/>
      <c r="E684" s="20"/>
      <c r="F684" s="2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4.25" customHeight="1" x14ac:dyDescent="0.3">
      <c r="A685" s="20"/>
      <c r="B685" s="20"/>
      <c r="C685" s="20"/>
      <c r="D685" s="20"/>
      <c r="E685" s="20"/>
      <c r="F685" s="2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4.25" customHeight="1" x14ac:dyDescent="0.3">
      <c r="A686" s="20"/>
      <c r="B686" s="20"/>
      <c r="C686" s="20"/>
      <c r="D686" s="20"/>
      <c r="E686" s="20"/>
      <c r="F686" s="2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4.25" customHeight="1" x14ac:dyDescent="0.3">
      <c r="A687" s="20"/>
      <c r="B687" s="20"/>
      <c r="C687" s="20"/>
      <c r="D687" s="20"/>
      <c r="E687" s="20"/>
      <c r="F687" s="2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4.25" customHeight="1" x14ac:dyDescent="0.3">
      <c r="A688" s="20"/>
      <c r="B688" s="20"/>
      <c r="C688" s="20"/>
      <c r="D688" s="20"/>
      <c r="E688" s="20"/>
      <c r="F688" s="2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4.25" customHeight="1" x14ac:dyDescent="0.3">
      <c r="A689" s="20"/>
      <c r="B689" s="20"/>
      <c r="C689" s="20"/>
      <c r="D689" s="20"/>
      <c r="E689" s="20"/>
      <c r="F689" s="2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4.25" customHeight="1" x14ac:dyDescent="0.3">
      <c r="A690" s="20"/>
      <c r="B690" s="20"/>
      <c r="C690" s="20"/>
      <c r="D690" s="20"/>
      <c r="E690" s="20"/>
      <c r="F690" s="2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4.25" customHeight="1" x14ac:dyDescent="0.3">
      <c r="A691" s="20"/>
      <c r="B691" s="20"/>
      <c r="C691" s="20"/>
      <c r="D691" s="20"/>
      <c r="E691" s="20"/>
      <c r="F691" s="2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4.25" customHeight="1" x14ac:dyDescent="0.3">
      <c r="A692" s="20"/>
      <c r="B692" s="20"/>
      <c r="C692" s="20"/>
      <c r="D692" s="20"/>
      <c r="E692" s="20"/>
      <c r="F692" s="2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4.25" customHeight="1" x14ac:dyDescent="0.3">
      <c r="A693" s="20"/>
      <c r="B693" s="20"/>
      <c r="C693" s="20"/>
      <c r="D693" s="20"/>
      <c r="E693" s="20"/>
      <c r="F693" s="2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4.25" customHeight="1" x14ac:dyDescent="0.3">
      <c r="A694" s="20"/>
      <c r="B694" s="20"/>
      <c r="C694" s="20"/>
      <c r="D694" s="20"/>
      <c r="E694" s="20"/>
      <c r="F694" s="2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4.25" customHeight="1" x14ac:dyDescent="0.3">
      <c r="A695" s="20"/>
      <c r="B695" s="20"/>
      <c r="C695" s="20"/>
      <c r="D695" s="20"/>
      <c r="E695" s="20"/>
      <c r="F695" s="2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4.25" customHeight="1" x14ac:dyDescent="0.3">
      <c r="A696" s="20"/>
      <c r="B696" s="20"/>
      <c r="C696" s="20"/>
      <c r="D696" s="20"/>
      <c r="E696" s="20"/>
      <c r="F696" s="2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4.25" customHeight="1" x14ac:dyDescent="0.3">
      <c r="A697" s="20"/>
      <c r="B697" s="20"/>
      <c r="C697" s="20"/>
      <c r="D697" s="20"/>
      <c r="E697" s="20"/>
      <c r="F697" s="2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4.25" customHeight="1" x14ac:dyDescent="0.3">
      <c r="A698" s="20"/>
      <c r="B698" s="20"/>
      <c r="C698" s="20"/>
      <c r="D698" s="20"/>
      <c r="E698" s="20"/>
      <c r="F698" s="2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4.25" customHeight="1" x14ac:dyDescent="0.3">
      <c r="A699" s="20"/>
      <c r="B699" s="20"/>
      <c r="C699" s="20"/>
      <c r="D699" s="20"/>
      <c r="E699" s="20"/>
      <c r="F699" s="2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4.25" customHeight="1" x14ac:dyDescent="0.3">
      <c r="A700" s="20"/>
      <c r="B700" s="20"/>
      <c r="C700" s="20"/>
      <c r="D700" s="20"/>
      <c r="E700" s="20"/>
      <c r="F700" s="2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4.25" customHeight="1" x14ac:dyDescent="0.3">
      <c r="A701" s="20"/>
      <c r="B701" s="20"/>
      <c r="C701" s="20"/>
      <c r="D701" s="20"/>
      <c r="E701" s="20"/>
      <c r="F701" s="2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4.25" customHeight="1" x14ac:dyDescent="0.3">
      <c r="A702" s="20"/>
      <c r="B702" s="20"/>
      <c r="C702" s="20"/>
      <c r="D702" s="20"/>
      <c r="E702" s="20"/>
      <c r="F702" s="2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4.25" customHeight="1" x14ac:dyDescent="0.3">
      <c r="A703" s="20"/>
      <c r="B703" s="20"/>
      <c r="C703" s="20"/>
      <c r="D703" s="20"/>
      <c r="E703" s="20"/>
      <c r="F703" s="2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4.25" customHeight="1" x14ac:dyDescent="0.3">
      <c r="A704" s="20"/>
      <c r="B704" s="20"/>
      <c r="C704" s="20"/>
      <c r="D704" s="20"/>
      <c r="E704" s="20"/>
      <c r="F704" s="2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4.25" customHeight="1" x14ac:dyDescent="0.3">
      <c r="A705" s="20"/>
      <c r="B705" s="20"/>
      <c r="C705" s="20"/>
      <c r="D705" s="20"/>
      <c r="E705" s="20"/>
      <c r="F705" s="2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4.25" customHeight="1" x14ac:dyDescent="0.3">
      <c r="A706" s="20"/>
      <c r="B706" s="20"/>
      <c r="C706" s="20"/>
      <c r="D706" s="20"/>
      <c r="E706" s="20"/>
      <c r="F706" s="2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4.25" customHeight="1" x14ac:dyDescent="0.3">
      <c r="A707" s="20"/>
      <c r="B707" s="20"/>
      <c r="C707" s="20"/>
      <c r="D707" s="20"/>
      <c r="E707" s="20"/>
      <c r="F707" s="2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4.25" customHeight="1" x14ac:dyDescent="0.3">
      <c r="A708" s="20"/>
      <c r="B708" s="20"/>
      <c r="C708" s="20"/>
      <c r="D708" s="20"/>
      <c r="E708" s="20"/>
      <c r="F708" s="2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4.25" customHeight="1" x14ac:dyDescent="0.3">
      <c r="A709" s="20"/>
      <c r="B709" s="20"/>
      <c r="C709" s="20"/>
      <c r="D709" s="20"/>
      <c r="E709" s="20"/>
      <c r="F709" s="2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4.25" customHeight="1" x14ac:dyDescent="0.3">
      <c r="A710" s="20"/>
      <c r="B710" s="20"/>
      <c r="C710" s="20"/>
      <c r="D710" s="20"/>
      <c r="E710" s="20"/>
      <c r="F710" s="2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4.25" customHeight="1" x14ac:dyDescent="0.3">
      <c r="A711" s="20"/>
      <c r="B711" s="20"/>
      <c r="C711" s="20"/>
      <c r="D711" s="20"/>
      <c r="E711" s="20"/>
      <c r="F711" s="2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4.25" customHeight="1" x14ac:dyDescent="0.3">
      <c r="A712" s="20"/>
      <c r="B712" s="20"/>
      <c r="C712" s="20"/>
      <c r="D712" s="20"/>
      <c r="E712" s="20"/>
      <c r="F712" s="2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4.25" customHeight="1" x14ac:dyDescent="0.3">
      <c r="A713" s="20"/>
      <c r="B713" s="20"/>
      <c r="C713" s="20"/>
      <c r="D713" s="20"/>
      <c r="E713" s="20"/>
      <c r="F713" s="2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4.25" customHeight="1" x14ac:dyDescent="0.3">
      <c r="A714" s="20"/>
      <c r="B714" s="20"/>
      <c r="C714" s="20"/>
      <c r="D714" s="20"/>
      <c r="E714" s="20"/>
      <c r="F714" s="2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4.25" customHeight="1" x14ac:dyDescent="0.3">
      <c r="A715" s="20"/>
      <c r="B715" s="20"/>
      <c r="C715" s="20"/>
      <c r="D715" s="20"/>
      <c r="E715" s="20"/>
      <c r="F715" s="2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4.25" customHeight="1" x14ac:dyDescent="0.3">
      <c r="A716" s="20"/>
      <c r="B716" s="20"/>
      <c r="C716" s="20"/>
      <c r="D716" s="20"/>
      <c r="E716" s="20"/>
      <c r="F716" s="2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4.25" customHeight="1" x14ac:dyDescent="0.3">
      <c r="A717" s="20"/>
      <c r="B717" s="20"/>
      <c r="C717" s="20"/>
      <c r="D717" s="20"/>
      <c r="E717" s="20"/>
      <c r="F717" s="2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4.25" customHeight="1" x14ac:dyDescent="0.3">
      <c r="A718" s="20"/>
      <c r="B718" s="20"/>
      <c r="C718" s="20"/>
      <c r="D718" s="20"/>
      <c r="E718" s="20"/>
      <c r="F718" s="2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4.25" customHeight="1" x14ac:dyDescent="0.3">
      <c r="A719" s="20"/>
      <c r="B719" s="20"/>
      <c r="C719" s="20"/>
      <c r="D719" s="20"/>
      <c r="E719" s="20"/>
      <c r="F719" s="2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4.25" customHeight="1" x14ac:dyDescent="0.3">
      <c r="A720" s="20"/>
      <c r="B720" s="20"/>
      <c r="C720" s="20"/>
      <c r="D720" s="20"/>
      <c r="E720" s="20"/>
      <c r="F720" s="2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4.25" customHeight="1" x14ac:dyDescent="0.3">
      <c r="A721" s="20"/>
      <c r="B721" s="20"/>
      <c r="C721" s="20"/>
      <c r="D721" s="20"/>
      <c r="E721" s="20"/>
      <c r="F721" s="2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4.25" customHeight="1" x14ac:dyDescent="0.3">
      <c r="A722" s="20"/>
      <c r="B722" s="20"/>
      <c r="C722" s="20"/>
      <c r="D722" s="20"/>
      <c r="E722" s="20"/>
      <c r="F722" s="2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4.25" customHeight="1" x14ac:dyDescent="0.3">
      <c r="A723" s="20"/>
      <c r="B723" s="20"/>
      <c r="C723" s="20"/>
      <c r="D723" s="20"/>
      <c r="E723" s="20"/>
      <c r="F723" s="2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4.25" customHeight="1" x14ac:dyDescent="0.3">
      <c r="A724" s="20"/>
      <c r="B724" s="20"/>
      <c r="C724" s="20"/>
      <c r="D724" s="20"/>
      <c r="E724" s="20"/>
      <c r="F724" s="2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4.25" customHeight="1" x14ac:dyDescent="0.3">
      <c r="A725" s="20"/>
      <c r="B725" s="20"/>
      <c r="C725" s="20"/>
      <c r="D725" s="20"/>
      <c r="E725" s="20"/>
      <c r="F725" s="2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4.25" customHeight="1" x14ac:dyDescent="0.3">
      <c r="A726" s="20"/>
      <c r="B726" s="20"/>
      <c r="C726" s="20"/>
      <c r="D726" s="20"/>
      <c r="E726" s="20"/>
      <c r="F726" s="2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4.25" customHeight="1" x14ac:dyDescent="0.3">
      <c r="A727" s="20"/>
      <c r="B727" s="20"/>
      <c r="C727" s="20"/>
      <c r="D727" s="20"/>
      <c r="E727" s="20"/>
      <c r="F727" s="2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4.25" customHeight="1" x14ac:dyDescent="0.3">
      <c r="A728" s="20"/>
      <c r="B728" s="20"/>
      <c r="C728" s="20"/>
      <c r="D728" s="20"/>
      <c r="E728" s="20"/>
      <c r="F728" s="2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4.25" customHeight="1" x14ac:dyDescent="0.3">
      <c r="A729" s="20"/>
      <c r="B729" s="20"/>
      <c r="C729" s="20"/>
      <c r="D729" s="20"/>
      <c r="E729" s="20"/>
      <c r="F729" s="2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4.25" customHeight="1" x14ac:dyDescent="0.3">
      <c r="A730" s="20"/>
      <c r="B730" s="20"/>
      <c r="C730" s="20"/>
      <c r="D730" s="20"/>
      <c r="E730" s="20"/>
      <c r="F730" s="2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4.25" customHeight="1" x14ac:dyDescent="0.3">
      <c r="A731" s="20"/>
      <c r="B731" s="20"/>
      <c r="C731" s="20"/>
      <c r="D731" s="20"/>
      <c r="E731" s="20"/>
      <c r="F731" s="2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4.25" customHeight="1" x14ac:dyDescent="0.3">
      <c r="A732" s="20"/>
      <c r="B732" s="20"/>
      <c r="C732" s="20"/>
      <c r="D732" s="20"/>
      <c r="E732" s="20"/>
      <c r="F732" s="2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4.25" customHeight="1" x14ac:dyDescent="0.3">
      <c r="A733" s="20"/>
      <c r="B733" s="20"/>
      <c r="C733" s="20"/>
      <c r="D733" s="20"/>
      <c r="E733" s="20"/>
      <c r="F733" s="2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4.25" customHeight="1" x14ac:dyDescent="0.3">
      <c r="A734" s="20"/>
      <c r="B734" s="20"/>
      <c r="C734" s="20"/>
      <c r="D734" s="20"/>
      <c r="E734" s="20"/>
      <c r="F734" s="2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4.25" customHeight="1" x14ac:dyDescent="0.3">
      <c r="A735" s="20"/>
      <c r="B735" s="20"/>
      <c r="C735" s="20"/>
      <c r="D735" s="20"/>
      <c r="E735" s="20"/>
      <c r="F735" s="2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4.25" customHeight="1" x14ac:dyDescent="0.3">
      <c r="A736" s="20"/>
      <c r="B736" s="20"/>
      <c r="C736" s="20"/>
      <c r="D736" s="20"/>
      <c r="E736" s="20"/>
      <c r="F736" s="2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4.25" customHeight="1" x14ac:dyDescent="0.3">
      <c r="A737" s="20"/>
      <c r="B737" s="20"/>
      <c r="C737" s="20"/>
      <c r="D737" s="20"/>
      <c r="E737" s="20"/>
      <c r="F737" s="2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4.25" customHeight="1" x14ac:dyDescent="0.3">
      <c r="A738" s="20"/>
      <c r="B738" s="20"/>
      <c r="C738" s="20"/>
      <c r="D738" s="20"/>
      <c r="E738" s="20"/>
      <c r="F738" s="2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4.25" customHeight="1" x14ac:dyDescent="0.3">
      <c r="A739" s="20"/>
      <c r="B739" s="20"/>
      <c r="C739" s="20"/>
      <c r="D739" s="20"/>
      <c r="E739" s="20"/>
      <c r="F739" s="2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4.25" customHeight="1" x14ac:dyDescent="0.3">
      <c r="A740" s="20"/>
      <c r="B740" s="20"/>
      <c r="C740" s="20"/>
      <c r="D740" s="20"/>
      <c r="E740" s="20"/>
      <c r="F740" s="2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4.25" customHeight="1" x14ac:dyDescent="0.3">
      <c r="A741" s="20"/>
      <c r="B741" s="20"/>
      <c r="C741" s="20"/>
      <c r="D741" s="20"/>
      <c r="E741" s="20"/>
      <c r="F741" s="2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4.25" customHeight="1" x14ac:dyDescent="0.3">
      <c r="A742" s="20"/>
      <c r="B742" s="20"/>
      <c r="C742" s="20"/>
      <c r="D742" s="20"/>
      <c r="E742" s="20"/>
      <c r="F742" s="2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4.25" customHeight="1" x14ac:dyDescent="0.3">
      <c r="A743" s="20"/>
      <c r="B743" s="20"/>
      <c r="C743" s="20"/>
      <c r="D743" s="20"/>
      <c r="E743" s="20"/>
      <c r="F743" s="2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4.25" customHeight="1" x14ac:dyDescent="0.3">
      <c r="A744" s="20"/>
      <c r="B744" s="20"/>
      <c r="C744" s="20"/>
      <c r="D744" s="20"/>
      <c r="E744" s="20"/>
      <c r="F744" s="2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4.25" customHeight="1" x14ac:dyDescent="0.3">
      <c r="A745" s="20"/>
      <c r="B745" s="20"/>
      <c r="C745" s="20"/>
      <c r="D745" s="20"/>
      <c r="E745" s="20"/>
      <c r="F745" s="2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4.25" customHeight="1" x14ac:dyDescent="0.3">
      <c r="A746" s="20"/>
      <c r="B746" s="20"/>
      <c r="C746" s="20"/>
      <c r="D746" s="20"/>
      <c r="E746" s="20"/>
      <c r="F746" s="2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4.25" customHeight="1" x14ac:dyDescent="0.3">
      <c r="A747" s="20"/>
      <c r="B747" s="20"/>
      <c r="C747" s="20"/>
      <c r="D747" s="20"/>
      <c r="E747" s="20"/>
      <c r="F747" s="2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4.25" customHeight="1" x14ac:dyDescent="0.3">
      <c r="A748" s="20"/>
      <c r="B748" s="20"/>
      <c r="C748" s="20"/>
      <c r="D748" s="20"/>
      <c r="E748" s="20"/>
      <c r="F748" s="2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4.25" customHeight="1" x14ac:dyDescent="0.3">
      <c r="A749" s="20"/>
      <c r="B749" s="20"/>
      <c r="C749" s="20"/>
      <c r="D749" s="20"/>
      <c r="E749" s="20"/>
      <c r="F749" s="2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4.25" customHeight="1" x14ac:dyDescent="0.3">
      <c r="A750" s="20"/>
      <c r="B750" s="20"/>
      <c r="C750" s="20"/>
      <c r="D750" s="20"/>
      <c r="E750" s="20"/>
      <c r="F750" s="2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4.25" customHeight="1" x14ac:dyDescent="0.3">
      <c r="A751" s="20"/>
      <c r="B751" s="20"/>
      <c r="C751" s="20"/>
      <c r="D751" s="20"/>
      <c r="E751" s="20"/>
      <c r="F751" s="2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4.25" customHeight="1" x14ac:dyDescent="0.3">
      <c r="A752" s="20"/>
      <c r="B752" s="20"/>
      <c r="C752" s="20"/>
      <c r="D752" s="20"/>
      <c r="E752" s="20"/>
      <c r="F752" s="2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4.25" customHeight="1" x14ac:dyDescent="0.3">
      <c r="A753" s="20"/>
      <c r="B753" s="20"/>
      <c r="C753" s="20"/>
      <c r="D753" s="20"/>
      <c r="E753" s="20"/>
      <c r="F753" s="2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4.25" customHeight="1" x14ac:dyDescent="0.3">
      <c r="A754" s="20"/>
      <c r="B754" s="20"/>
      <c r="C754" s="20"/>
      <c r="D754" s="20"/>
      <c r="E754" s="20"/>
      <c r="F754" s="2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4.25" customHeight="1" x14ac:dyDescent="0.3">
      <c r="A755" s="20"/>
      <c r="B755" s="20"/>
      <c r="C755" s="20"/>
      <c r="D755" s="20"/>
      <c r="E755" s="20"/>
      <c r="F755" s="2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4.25" customHeight="1" x14ac:dyDescent="0.3">
      <c r="A756" s="20"/>
      <c r="B756" s="20"/>
      <c r="C756" s="20"/>
      <c r="D756" s="20"/>
      <c r="E756" s="20"/>
      <c r="F756" s="2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4.25" customHeight="1" x14ac:dyDescent="0.3">
      <c r="A757" s="20"/>
      <c r="B757" s="20"/>
      <c r="C757" s="20"/>
      <c r="D757" s="20"/>
      <c r="E757" s="20"/>
      <c r="F757" s="2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4.25" customHeight="1" x14ac:dyDescent="0.3">
      <c r="A758" s="20"/>
      <c r="B758" s="20"/>
      <c r="C758" s="20"/>
      <c r="D758" s="20"/>
      <c r="E758" s="20"/>
      <c r="F758" s="2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4.25" customHeight="1" x14ac:dyDescent="0.3">
      <c r="A759" s="20"/>
      <c r="B759" s="20"/>
      <c r="C759" s="20"/>
      <c r="D759" s="20"/>
      <c r="E759" s="20"/>
      <c r="F759" s="2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4.25" customHeight="1" x14ac:dyDescent="0.3">
      <c r="A760" s="20"/>
      <c r="B760" s="20"/>
      <c r="C760" s="20"/>
      <c r="D760" s="20"/>
      <c r="E760" s="20"/>
      <c r="F760" s="2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4.25" customHeight="1" x14ac:dyDescent="0.3">
      <c r="A761" s="20"/>
      <c r="B761" s="20"/>
      <c r="C761" s="20"/>
      <c r="D761" s="20"/>
      <c r="E761" s="20"/>
      <c r="F761" s="2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4.25" customHeight="1" x14ac:dyDescent="0.3">
      <c r="A762" s="20"/>
      <c r="B762" s="20"/>
      <c r="C762" s="20"/>
      <c r="D762" s="20"/>
      <c r="E762" s="20"/>
      <c r="F762" s="2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4.25" customHeight="1" x14ac:dyDescent="0.3">
      <c r="A763" s="20"/>
      <c r="B763" s="20"/>
      <c r="C763" s="20"/>
      <c r="D763" s="20"/>
      <c r="E763" s="20"/>
      <c r="F763" s="2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4.25" customHeight="1" x14ac:dyDescent="0.3">
      <c r="A764" s="20"/>
      <c r="B764" s="20"/>
      <c r="C764" s="20"/>
      <c r="D764" s="20"/>
      <c r="E764" s="20"/>
      <c r="F764" s="2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4.25" customHeight="1" x14ac:dyDescent="0.3">
      <c r="A765" s="20"/>
      <c r="B765" s="20"/>
      <c r="C765" s="20"/>
      <c r="D765" s="20"/>
      <c r="E765" s="20"/>
      <c r="F765" s="2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4.25" customHeight="1" x14ac:dyDescent="0.3">
      <c r="A766" s="20"/>
      <c r="B766" s="20"/>
      <c r="C766" s="20"/>
      <c r="D766" s="20"/>
      <c r="E766" s="20"/>
      <c r="F766" s="2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4.25" customHeight="1" x14ac:dyDescent="0.3">
      <c r="A767" s="20"/>
      <c r="B767" s="20"/>
      <c r="C767" s="20"/>
      <c r="D767" s="20"/>
      <c r="E767" s="20"/>
      <c r="F767" s="2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4.25" customHeight="1" x14ac:dyDescent="0.3">
      <c r="A768" s="20"/>
      <c r="B768" s="20"/>
      <c r="C768" s="20"/>
      <c r="D768" s="20"/>
      <c r="E768" s="20"/>
      <c r="F768" s="2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4.25" customHeight="1" x14ac:dyDescent="0.3">
      <c r="A769" s="20"/>
      <c r="B769" s="20"/>
      <c r="C769" s="20"/>
      <c r="D769" s="20"/>
      <c r="E769" s="20"/>
      <c r="F769" s="2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4.25" customHeight="1" x14ac:dyDescent="0.3">
      <c r="A770" s="20"/>
      <c r="B770" s="20"/>
      <c r="C770" s="20"/>
      <c r="D770" s="20"/>
      <c r="E770" s="20"/>
      <c r="F770" s="2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4.25" customHeight="1" x14ac:dyDescent="0.3">
      <c r="A771" s="20"/>
      <c r="B771" s="20"/>
      <c r="C771" s="20"/>
      <c r="D771" s="20"/>
      <c r="E771" s="20"/>
      <c r="F771" s="2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4.25" customHeight="1" x14ac:dyDescent="0.3">
      <c r="A772" s="20"/>
      <c r="B772" s="20"/>
      <c r="C772" s="20"/>
      <c r="D772" s="20"/>
      <c r="E772" s="20"/>
      <c r="F772" s="2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4.25" customHeight="1" x14ac:dyDescent="0.3">
      <c r="A773" s="20"/>
      <c r="B773" s="20"/>
      <c r="C773" s="20"/>
      <c r="D773" s="20"/>
      <c r="E773" s="20"/>
      <c r="F773" s="2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4.25" customHeight="1" x14ac:dyDescent="0.3">
      <c r="A774" s="20"/>
      <c r="B774" s="20"/>
      <c r="C774" s="20"/>
      <c r="D774" s="20"/>
      <c r="E774" s="20"/>
      <c r="F774" s="2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4.25" customHeight="1" x14ac:dyDescent="0.3">
      <c r="A775" s="20"/>
      <c r="B775" s="20"/>
      <c r="C775" s="20"/>
      <c r="D775" s="20"/>
      <c r="E775" s="20"/>
      <c r="F775" s="2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4.25" customHeight="1" x14ac:dyDescent="0.3">
      <c r="A776" s="20"/>
      <c r="B776" s="20"/>
      <c r="C776" s="20"/>
      <c r="D776" s="20"/>
      <c r="E776" s="20"/>
      <c r="F776" s="2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4.25" customHeight="1" x14ac:dyDescent="0.3">
      <c r="A777" s="20"/>
      <c r="B777" s="20"/>
      <c r="C777" s="20"/>
      <c r="D777" s="20"/>
      <c r="E777" s="20"/>
      <c r="F777" s="2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4.25" customHeight="1" x14ac:dyDescent="0.3">
      <c r="A778" s="20"/>
      <c r="B778" s="20"/>
      <c r="C778" s="20"/>
      <c r="D778" s="20"/>
      <c r="E778" s="20"/>
      <c r="F778" s="2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4.25" customHeight="1" x14ac:dyDescent="0.3">
      <c r="A779" s="20"/>
      <c r="B779" s="20"/>
      <c r="C779" s="20"/>
      <c r="D779" s="20"/>
      <c r="E779" s="20"/>
      <c r="F779" s="2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4.25" customHeight="1" x14ac:dyDescent="0.3">
      <c r="A780" s="20"/>
      <c r="B780" s="20"/>
      <c r="C780" s="20"/>
      <c r="D780" s="20"/>
      <c r="E780" s="20"/>
      <c r="F780" s="2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4.25" customHeight="1" x14ac:dyDescent="0.3">
      <c r="A781" s="20"/>
      <c r="B781" s="20"/>
      <c r="C781" s="20"/>
      <c r="D781" s="20"/>
      <c r="E781" s="20"/>
      <c r="F781" s="2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4.25" customHeight="1" x14ac:dyDescent="0.3">
      <c r="A782" s="20"/>
      <c r="B782" s="20"/>
      <c r="C782" s="20"/>
      <c r="D782" s="20"/>
      <c r="E782" s="20"/>
      <c r="F782" s="2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4.25" customHeight="1" x14ac:dyDescent="0.3">
      <c r="A783" s="20"/>
      <c r="B783" s="20"/>
      <c r="C783" s="20"/>
      <c r="D783" s="20"/>
      <c r="E783" s="20"/>
      <c r="F783" s="2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4.25" customHeight="1" x14ac:dyDescent="0.3">
      <c r="A784" s="20"/>
      <c r="B784" s="20"/>
      <c r="C784" s="20"/>
      <c r="D784" s="20"/>
      <c r="E784" s="20"/>
      <c r="F784" s="2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4.25" customHeight="1" x14ac:dyDescent="0.3">
      <c r="A785" s="20"/>
      <c r="B785" s="20"/>
      <c r="C785" s="20"/>
      <c r="D785" s="20"/>
      <c r="E785" s="20"/>
      <c r="F785" s="2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4.25" customHeight="1" x14ac:dyDescent="0.3">
      <c r="A786" s="20"/>
      <c r="B786" s="20"/>
      <c r="C786" s="20"/>
      <c r="D786" s="20"/>
      <c r="E786" s="20"/>
      <c r="F786" s="2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4.25" customHeight="1" x14ac:dyDescent="0.3">
      <c r="A787" s="20"/>
      <c r="B787" s="20"/>
      <c r="C787" s="20"/>
      <c r="D787" s="20"/>
      <c r="E787" s="20"/>
      <c r="F787" s="2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4.25" customHeight="1" x14ac:dyDescent="0.3">
      <c r="A788" s="20"/>
      <c r="B788" s="20"/>
      <c r="C788" s="20"/>
      <c r="D788" s="20"/>
      <c r="E788" s="20"/>
      <c r="F788" s="2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4.25" customHeight="1" x14ac:dyDescent="0.3">
      <c r="A789" s="20"/>
      <c r="B789" s="20"/>
      <c r="C789" s="20"/>
      <c r="D789" s="20"/>
      <c r="E789" s="20"/>
      <c r="F789" s="2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4.25" customHeight="1" x14ac:dyDescent="0.3">
      <c r="A790" s="20"/>
      <c r="B790" s="20"/>
      <c r="C790" s="20"/>
      <c r="D790" s="20"/>
      <c r="E790" s="20"/>
      <c r="F790" s="2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4.25" customHeight="1" x14ac:dyDescent="0.3">
      <c r="A791" s="20"/>
      <c r="B791" s="20"/>
      <c r="C791" s="20"/>
      <c r="D791" s="20"/>
      <c r="E791" s="20"/>
      <c r="F791" s="2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4.25" customHeight="1" x14ac:dyDescent="0.3">
      <c r="A792" s="20"/>
      <c r="B792" s="20"/>
      <c r="C792" s="20"/>
      <c r="D792" s="20"/>
      <c r="E792" s="20"/>
      <c r="F792" s="2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4.25" customHeight="1" x14ac:dyDescent="0.3">
      <c r="A793" s="20"/>
      <c r="B793" s="20"/>
      <c r="C793" s="20"/>
      <c r="D793" s="20"/>
      <c r="E793" s="20"/>
      <c r="F793" s="2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4.25" customHeight="1" x14ac:dyDescent="0.3">
      <c r="A794" s="20"/>
      <c r="B794" s="20"/>
      <c r="C794" s="20"/>
      <c r="D794" s="20"/>
      <c r="E794" s="20"/>
      <c r="F794" s="2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4.25" customHeight="1" x14ac:dyDescent="0.3">
      <c r="A795" s="20"/>
      <c r="B795" s="20"/>
      <c r="C795" s="20"/>
      <c r="D795" s="20"/>
      <c r="E795" s="20"/>
      <c r="F795" s="2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4.25" customHeight="1" x14ac:dyDescent="0.3">
      <c r="A796" s="20"/>
      <c r="B796" s="20"/>
      <c r="C796" s="20"/>
      <c r="D796" s="20"/>
      <c r="E796" s="20"/>
      <c r="F796" s="2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4.25" customHeight="1" x14ac:dyDescent="0.3">
      <c r="A797" s="20"/>
      <c r="B797" s="20"/>
      <c r="C797" s="20"/>
      <c r="D797" s="20"/>
      <c r="E797" s="20"/>
      <c r="F797" s="2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4.25" customHeight="1" x14ac:dyDescent="0.3">
      <c r="A798" s="20"/>
      <c r="B798" s="20"/>
      <c r="C798" s="20"/>
      <c r="D798" s="20"/>
      <c r="E798" s="20"/>
      <c r="F798" s="2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4.25" customHeight="1" x14ac:dyDescent="0.3">
      <c r="A799" s="20"/>
      <c r="B799" s="20"/>
      <c r="C799" s="20"/>
      <c r="D799" s="20"/>
      <c r="E799" s="20"/>
      <c r="F799" s="2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4.25" customHeight="1" x14ac:dyDescent="0.3">
      <c r="A800" s="20"/>
      <c r="B800" s="20"/>
      <c r="C800" s="20"/>
      <c r="D800" s="20"/>
      <c r="E800" s="20"/>
      <c r="F800" s="2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4.25" customHeight="1" x14ac:dyDescent="0.3">
      <c r="A801" s="20"/>
      <c r="B801" s="20"/>
      <c r="C801" s="20"/>
      <c r="D801" s="20"/>
      <c r="E801" s="20"/>
      <c r="F801" s="2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4.25" customHeight="1" x14ac:dyDescent="0.3">
      <c r="A802" s="20"/>
      <c r="B802" s="20"/>
      <c r="C802" s="20"/>
      <c r="D802" s="20"/>
      <c r="E802" s="20"/>
      <c r="F802" s="2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4.25" customHeight="1" x14ac:dyDescent="0.3">
      <c r="A803" s="20"/>
      <c r="B803" s="20"/>
      <c r="C803" s="20"/>
      <c r="D803" s="20"/>
      <c r="E803" s="20"/>
      <c r="F803" s="2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4.25" customHeight="1" x14ac:dyDescent="0.3">
      <c r="A804" s="20"/>
      <c r="B804" s="20"/>
      <c r="C804" s="20"/>
      <c r="D804" s="20"/>
      <c r="E804" s="20"/>
      <c r="F804" s="2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4.25" customHeight="1" x14ac:dyDescent="0.3">
      <c r="A805" s="20"/>
      <c r="B805" s="20"/>
      <c r="C805" s="20"/>
      <c r="D805" s="20"/>
      <c r="E805" s="20"/>
      <c r="F805" s="2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4.25" customHeight="1" x14ac:dyDescent="0.3">
      <c r="A806" s="20"/>
      <c r="B806" s="20"/>
      <c r="C806" s="20"/>
      <c r="D806" s="20"/>
      <c r="E806" s="20"/>
      <c r="F806" s="2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4.25" customHeight="1" x14ac:dyDescent="0.3">
      <c r="A807" s="20"/>
      <c r="B807" s="20"/>
      <c r="C807" s="20"/>
      <c r="D807" s="20"/>
      <c r="E807" s="20"/>
      <c r="F807" s="2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4.25" customHeight="1" x14ac:dyDescent="0.3">
      <c r="A808" s="20"/>
      <c r="B808" s="20"/>
      <c r="C808" s="20"/>
      <c r="D808" s="20"/>
      <c r="E808" s="20"/>
      <c r="F808" s="2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4.25" customHeight="1" x14ac:dyDescent="0.3">
      <c r="A809" s="20"/>
      <c r="B809" s="20"/>
      <c r="C809" s="20"/>
      <c r="D809" s="20"/>
      <c r="E809" s="20"/>
      <c r="F809" s="2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4.25" customHeight="1" x14ac:dyDescent="0.3">
      <c r="A810" s="20"/>
      <c r="B810" s="20"/>
      <c r="C810" s="20"/>
      <c r="D810" s="20"/>
      <c r="E810" s="20"/>
      <c r="F810" s="2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4.25" customHeight="1" x14ac:dyDescent="0.3">
      <c r="A811" s="20"/>
      <c r="B811" s="20"/>
      <c r="C811" s="20"/>
      <c r="D811" s="20"/>
      <c r="E811" s="20"/>
      <c r="F811" s="2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4.25" customHeight="1" x14ac:dyDescent="0.3">
      <c r="A812" s="20"/>
      <c r="B812" s="20"/>
      <c r="C812" s="20"/>
      <c r="D812" s="20"/>
      <c r="E812" s="20"/>
      <c r="F812" s="2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4.25" customHeight="1" x14ac:dyDescent="0.3">
      <c r="A813" s="20"/>
      <c r="B813" s="20"/>
      <c r="C813" s="20"/>
      <c r="D813" s="20"/>
      <c r="E813" s="20"/>
      <c r="F813" s="2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4.25" customHeight="1" x14ac:dyDescent="0.3">
      <c r="A814" s="20"/>
      <c r="B814" s="20"/>
      <c r="C814" s="20"/>
      <c r="D814" s="20"/>
      <c r="E814" s="20"/>
      <c r="F814" s="2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4.25" customHeight="1" x14ac:dyDescent="0.3">
      <c r="A815" s="20"/>
      <c r="B815" s="20"/>
      <c r="C815" s="20"/>
      <c r="D815" s="20"/>
      <c r="E815" s="20"/>
      <c r="F815" s="2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4.25" customHeight="1" x14ac:dyDescent="0.3">
      <c r="A816" s="20"/>
      <c r="B816" s="20"/>
      <c r="C816" s="20"/>
      <c r="D816" s="20"/>
      <c r="E816" s="20"/>
      <c r="F816" s="2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4.25" customHeight="1" x14ac:dyDescent="0.3">
      <c r="A817" s="20"/>
      <c r="B817" s="20"/>
      <c r="C817" s="20"/>
      <c r="D817" s="20"/>
      <c r="E817" s="20"/>
      <c r="F817" s="2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4.25" customHeight="1" x14ac:dyDescent="0.3">
      <c r="A818" s="20"/>
      <c r="B818" s="20"/>
      <c r="C818" s="20"/>
      <c r="D818" s="20"/>
      <c r="E818" s="20"/>
      <c r="F818" s="2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4.25" customHeight="1" x14ac:dyDescent="0.3">
      <c r="A819" s="20"/>
      <c r="B819" s="20"/>
      <c r="C819" s="20"/>
      <c r="D819" s="20"/>
      <c r="E819" s="20"/>
      <c r="F819" s="2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4.25" customHeight="1" x14ac:dyDescent="0.3">
      <c r="A820" s="20"/>
      <c r="B820" s="20"/>
      <c r="C820" s="20"/>
      <c r="D820" s="20"/>
      <c r="E820" s="20"/>
      <c r="F820" s="2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4.25" customHeight="1" x14ac:dyDescent="0.3">
      <c r="A821" s="20"/>
      <c r="B821" s="20"/>
      <c r="C821" s="20"/>
      <c r="D821" s="20"/>
      <c r="E821" s="20"/>
      <c r="F821" s="2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4.25" customHeight="1" x14ac:dyDescent="0.3">
      <c r="A822" s="20"/>
      <c r="B822" s="20"/>
      <c r="C822" s="20"/>
      <c r="D822" s="20"/>
      <c r="E822" s="20"/>
      <c r="F822" s="2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4.25" customHeight="1" x14ac:dyDescent="0.3">
      <c r="A823" s="20"/>
      <c r="B823" s="20"/>
      <c r="C823" s="20"/>
      <c r="D823" s="20"/>
      <c r="E823" s="20"/>
      <c r="F823" s="2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4.25" customHeight="1" x14ac:dyDescent="0.3">
      <c r="A824" s="20"/>
      <c r="B824" s="20"/>
      <c r="C824" s="20"/>
      <c r="D824" s="20"/>
      <c r="E824" s="20"/>
      <c r="F824" s="2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4.25" customHeight="1" x14ac:dyDescent="0.3">
      <c r="A825" s="20"/>
      <c r="B825" s="20"/>
      <c r="C825" s="20"/>
      <c r="D825" s="20"/>
      <c r="E825" s="20"/>
      <c r="F825" s="2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4.25" customHeight="1" x14ac:dyDescent="0.3">
      <c r="A826" s="20"/>
      <c r="B826" s="20"/>
      <c r="C826" s="20"/>
      <c r="D826" s="20"/>
      <c r="E826" s="20"/>
      <c r="F826" s="2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4.25" customHeight="1" x14ac:dyDescent="0.3">
      <c r="A827" s="20"/>
      <c r="B827" s="20"/>
      <c r="C827" s="20"/>
      <c r="D827" s="20"/>
      <c r="E827" s="20"/>
      <c r="F827" s="2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4.25" customHeight="1" x14ac:dyDescent="0.3">
      <c r="A828" s="20"/>
      <c r="B828" s="20"/>
      <c r="C828" s="20"/>
      <c r="D828" s="20"/>
      <c r="E828" s="20"/>
      <c r="F828" s="2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4.25" customHeight="1" x14ac:dyDescent="0.3">
      <c r="A829" s="20"/>
      <c r="B829" s="20"/>
      <c r="C829" s="20"/>
      <c r="D829" s="20"/>
      <c r="E829" s="20"/>
      <c r="F829" s="2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4.25" customHeight="1" x14ac:dyDescent="0.3">
      <c r="A830" s="20"/>
      <c r="B830" s="20"/>
      <c r="C830" s="20"/>
      <c r="D830" s="20"/>
      <c r="E830" s="20"/>
      <c r="F830" s="2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4.25" customHeight="1" x14ac:dyDescent="0.3">
      <c r="A831" s="20"/>
      <c r="B831" s="20"/>
      <c r="C831" s="20"/>
      <c r="D831" s="20"/>
      <c r="E831" s="20"/>
      <c r="F831" s="2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4.25" customHeight="1" x14ac:dyDescent="0.3">
      <c r="A832" s="20"/>
      <c r="B832" s="20"/>
      <c r="C832" s="20"/>
      <c r="D832" s="20"/>
      <c r="E832" s="20"/>
      <c r="F832" s="2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4.25" customHeight="1" x14ac:dyDescent="0.3">
      <c r="A833" s="20"/>
      <c r="B833" s="20"/>
      <c r="C833" s="20"/>
      <c r="D833" s="20"/>
      <c r="E833" s="20"/>
      <c r="F833" s="2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4.25" customHeight="1" x14ac:dyDescent="0.3">
      <c r="A834" s="20"/>
      <c r="B834" s="20"/>
      <c r="C834" s="20"/>
      <c r="D834" s="20"/>
      <c r="E834" s="20"/>
      <c r="F834" s="2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4.25" customHeight="1" x14ac:dyDescent="0.3">
      <c r="A835" s="20"/>
      <c r="B835" s="20"/>
      <c r="C835" s="20"/>
      <c r="D835" s="20"/>
      <c r="E835" s="20"/>
      <c r="F835" s="2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4.25" customHeight="1" x14ac:dyDescent="0.3">
      <c r="A836" s="20"/>
      <c r="B836" s="20"/>
      <c r="C836" s="20"/>
      <c r="D836" s="20"/>
      <c r="E836" s="20"/>
      <c r="F836" s="2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4.25" customHeight="1" x14ac:dyDescent="0.3">
      <c r="A837" s="20"/>
      <c r="B837" s="20"/>
      <c r="C837" s="20"/>
      <c r="D837" s="20"/>
      <c r="E837" s="20"/>
      <c r="F837" s="2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4.25" customHeight="1" x14ac:dyDescent="0.3">
      <c r="A838" s="20"/>
      <c r="B838" s="20"/>
      <c r="C838" s="20"/>
      <c r="D838" s="20"/>
      <c r="E838" s="20"/>
      <c r="F838" s="2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4.25" customHeight="1" x14ac:dyDescent="0.3">
      <c r="A839" s="20"/>
      <c r="B839" s="20"/>
      <c r="C839" s="20"/>
      <c r="D839" s="20"/>
      <c r="E839" s="20"/>
      <c r="F839" s="2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4.25" customHeight="1" x14ac:dyDescent="0.3">
      <c r="A840" s="20"/>
      <c r="B840" s="20"/>
      <c r="C840" s="20"/>
      <c r="D840" s="20"/>
      <c r="E840" s="20"/>
      <c r="F840" s="2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4.25" customHeight="1" x14ac:dyDescent="0.3">
      <c r="A841" s="20"/>
      <c r="B841" s="20"/>
      <c r="C841" s="20"/>
      <c r="D841" s="20"/>
      <c r="E841" s="20"/>
      <c r="F841" s="2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4.25" customHeight="1" x14ac:dyDescent="0.3">
      <c r="A842" s="20"/>
      <c r="B842" s="20"/>
      <c r="C842" s="20"/>
      <c r="D842" s="20"/>
      <c r="E842" s="20"/>
      <c r="F842" s="2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4.25" customHeight="1" x14ac:dyDescent="0.3">
      <c r="A843" s="20"/>
      <c r="B843" s="20"/>
      <c r="C843" s="20"/>
      <c r="D843" s="20"/>
      <c r="E843" s="20"/>
      <c r="F843" s="2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4.25" customHeight="1" x14ac:dyDescent="0.3">
      <c r="A844" s="20"/>
      <c r="B844" s="20"/>
      <c r="C844" s="20"/>
      <c r="D844" s="20"/>
      <c r="E844" s="20"/>
      <c r="F844" s="2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4.25" customHeight="1" x14ac:dyDescent="0.3">
      <c r="A845" s="20"/>
      <c r="B845" s="20"/>
      <c r="C845" s="20"/>
      <c r="D845" s="20"/>
      <c r="E845" s="20"/>
      <c r="F845" s="2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4.25" customHeight="1" x14ac:dyDescent="0.3">
      <c r="A846" s="20"/>
      <c r="B846" s="20"/>
      <c r="C846" s="20"/>
      <c r="D846" s="20"/>
      <c r="E846" s="20"/>
      <c r="F846" s="2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4.25" customHeight="1" x14ac:dyDescent="0.3">
      <c r="A847" s="20"/>
      <c r="B847" s="20"/>
      <c r="C847" s="20"/>
      <c r="D847" s="20"/>
      <c r="E847" s="20"/>
      <c r="F847" s="2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4.25" customHeight="1" x14ac:dyDescent="0.3">
      <c r="A848" s="20"/>
      <c r="B848" s="20"/>
      <c r="C848" s="20"/>
      <c r="D848" s="20"/>
      <c r="E848" s="20"/>
      <c r="F848" s="2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4.25" customHeight="1" x14ac:dyDescent="0.3">
      <c r="A849" s="20"/>
      <c r="B849" s="20"/>
      <c r="C849" s="20"/>
      <c r="D849" s="20"/>
      <c r="E849" s="20"/>
      <c r="F849" s="2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4.25" customHeight="1" x14ac:dyDescent="0.3">
      <c r="A850" s="20"/>
      <c r="B850" s="20"/>
      <c r="C850" s="20"/>
      <c r="D850" s="20"/>
      <c r="E850" s="20"/>
      <c r="F850" s="2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4.25" customHeight="1" x14ac:dyDescent="0.3">
      <c r="A851" s="20"/>
      <c r="B851" s="20"/>
      <c r="C851" s="20"/>
      <c r="D851" s="20"/>
      <c r="E851" s="20"/>
      <c r="F851" s="2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4.25" customHeight="1" x14ac:dyDescent="0.3">
      <c r="A852" s="20"/>
      <c r="B852" s="20"/>
      <c r="C852" s="20"/>
      <c r="D852" s="20"/>
      <c r="E852" s="20"/>
      <c r="F852" s="2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4.25" customHeight="1" x14ac:dyDescent="0.3">
      <c r="A853" s="20"/>
      <c r="B853" s="20"/>
      <c r="C853" s="20"/>
      <c r="D853" s="20"/>
      <c r="E853" s="20"/>
      <c r="F853" s="2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4.25" customHeight="1" x14ac:dyDescent="0.3">
      <c r="A854" s="20"/>
      <c r="B854" s="20"/>
      <c r="C854" s="20"/>
      <c r="D854" s="20"/>
      <c r="E854" s="20"/>
      <c r="F854" s="2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4.25" customHeight="1" x14ac:dyDescent="0.3">
      <c r="A855" s="20"/>
      <c r="B855" s="20"/>
      <c r="C855" s="20"/>
      <c r="D855" s="20"/>
      <c r="E855" s="20"/>
      <c r="F855" s="2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4.25" customHeight="1" x14ac:dyDescent="0.3">
      <c r="A856" s="20"/>
      <c r="B856" s="20"/>
      <c r="C856" s="20"/>
      <c r="D856" s="20"/>
      <c r="E856" s="20"/>
      <c r="F856" s="2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4.25" customHeight="1" x14ac:dyDescent="0.3">
      <c r="A857" s="20"/>
      <c r="B857" s="20"/>
      <c r="C857" s="20"/>
      <c r="D857" s="20"/>
      <c r="E857" s="20"/>
      <c r="F857" s="2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4.25" customHeight="1" x14ac:dyDescent="0.3">
      <c r="A858" s="20"/>
      <c r="B858" s="20"/>
      <c r="C858" s="20"/>
      <c r="D858" s="20"/>
      <c r="E858" s="20"/>
      <c r="F858" s="2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4.25" customHeight="1" x14ac:dyDescent="0.3">
      <c r="A859" s="20"/>
      <c r="B859" s="20"/>
      <c r="C859" s="20"/>
      <c r="D859" s="20"/>
      <c r="E859" s="20"/>
      <c r="F859" s="2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4.25" customHeight="1" x14ac:dyDescent="0.3">
      <c r="A860" s="20"/>
      <c r="B860" s="20"/>
      <c r="C860" s="20"/>
      <c r="D860" s="20"/>
      <c r="E860" s="20"/>
      <c r="F860" s="2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4.25" customHeight="1" x14ac:dyDescent="0.3">
      <c r="A861" s="20"/>
      <c r="B861" s="20"/>
      <c r="C861" s="20"/>
      <c r="D861" s="20"/>
      <c r="E861" s="20"/>
      <c r="F861" s="2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4.25" customHeight="1" x14ac:dyDescent="0.3">
      <c r="A862" s="20"/>
      <c r="B862" s="20"/>
      <c r="C862" s="20"/>
      <c r="D862" s="20"/>
      <c r="E862" s="20"/>
      <c r="F862" s="2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4.25" customHeight="1" x14ac:dyDescent="0.3">
      <c r="A863" s="20"/>
      <c r="B863" s="20"/>
      <c r="C863" s="20"/>
      <c r="D863" s="20"/>
      <c r="E863" s="20"/>
      <c r="F863" s="2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4.25" customHeight="1" x14ac:dyDescent="0.3">
      <c r="A864" s="20"/>
      <c r="B864" s="20"/>
      <c r="C864" s="20"/>
      <c r="D864" s="20"/>
      <c r="E864" s="20"/>
      <c r="F864" s="2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4.25" customHeight="1" x14ac:dyDescent="0.3">
      <c r="A865" s="20"/>
      <c r="B865" s="20"/>
      <c r="C865" s="20"/>
      <c r="D865" s="20"/>
      <c r="E865" s="20"/>
      <c r="F865" s="2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4.25" customHeight="1" x14ac:dyDescent="0.3">
      <c r="A866" s="20"/>
      <c r="B866" s="20"/>
      <c r="C866" s="20"/>
      <c r="D866" s="20"/>
      <c r="E866" s="20"/>
      <c r="F866" s="2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4.25" customHeight="1" x14ac:dyDescent="0.3">
      <c r="A867" s="20"/>
      <c r="B867" s="20"/>
      <c r="C867" s="20"/>
      <c r="D867" s="20"/>
      <c r="E867" s="20"/>
      <c r="F867" s="2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4.25" customHeight="1" x14ac:dyDescent="0.3">
      <c r="A868" s="20"/>
      <c r="B868" s="20"/>
      <c r="C868" s="20"/>
      <c r="D868" s="20"/>
      <c r="E868" s="20"/>
      <c r="F868" s="2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4.25" customHeight="1" x14ac:dyDescent="0.3">
      <c r="A869" s="20"/>
      <c r="B869" s="20"/>
      <c r="C869" s="20"/>
      <c r="D869" s="20"/>
      <c r="E869" s="20"/>
      <c r="F869" s="2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4.25" customHeight="1" x14ac:dyDescent="0.3">
      <c r="A870" s="20"/>
      <c r="B870" s="20"/>
      <c r="C870" s="20"/>
      <c r="D870" s="20"/>
      <c r="E870" s="20"/>
      <c r="F870" s="2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4.25" customHeight="1" x14ac:dyDescent="0.3">
      <c r="A871" s="20"/>
      <c r="B871" s="20"/>
      <c r="C871" s="20"/>
      <c r="D871" s="20"/>
      <c r="E871" s="20"/>
      <c r="F871" s="2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4.25" customHeight="1" x14ac:dyDescent="0.3">
      <c r="A872" s="20"/>
      <c r="B872" s="20"/>
      <c r="C872" s="20"/>
      <c r="D872" s="20"/>
      <c r="E872" s="20"/>
      <c r="F872" s="2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4.25" customHeight="1" x14ac:dyDescent="0.3">
      <c r="A873" s="20"/>
      <c r="B873" s="20"/>
      <c r="C873" s="20"/>
      <c r="D873" s="20"/>
      <c r="E873" s="20"/>
      <c r="F873" s="2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4.25" customHeight="1" x14ac:dyDescent="0.3">
      <c r="A874" s="20"/>
      <c r="B874" s="20"/>
      <c r="C874" s="20"/>
      <c r="D874" s="20"/>
      <c r="E874" s="20"/>
      <c r="F874" s="2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4.25" customHeight="1" x14ac:dyDescent="0.3">
      <c r="A875" s="20"/>
      <c r="B875" s="20"/>
      <c r="C875" s="20"/>
      <c r="D875" s="20"/>
      <c r="E875" s="20"/>
      <c r="F875" s="2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4.25" customHeight="1" x14ac:dyDescent="0.3">
      <c r="A876" s="20"/>
      <c r="B876" s="20"/>
      <c r="C876" s="20"/>
      <c r="D876" s="20"/>
      <c r="E876" s="20"/>
      <c r="F876" s="2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4.25" customHeight="1" x14ac:dyDescent="0.3">
      <c r="A877" s="20"/>
      <c r="B877" s="20"/>
      <c r="C877" s="20"/>
      <c r="D877" s="20"/>
      <c r="E877" s="20"/>
      <c r="F877" s="2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4.25" customHeight="1" x14ac:dyDescent="0.3">
      <c r="A878" s="20"/>
      <c r="B878" s="20"/>
      <c r="C878" s="20"/>
      <c r="D878" s="20"/>
      <c r="E878" s="20"/>
      <c r="F878" s="2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4.25" customHeight="1" x14ac:dyDescent="0.3">
      <c r="A879" s="20"/>
      <c r="B879" s="20"/>
      <c r="C879" s="20"/>
      <c r="D879" s="20"/>
      <c r="E879" s="20"/>
      <c r="F879" s="2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4.25" customHeight="1" x14ac:dyDescent="0.3">
      <c r="A880" s="20"/>
      <c r="B880" s="20"/>
      <c r="C880" s="20"/>
      <c r="D880" s="20"/>
      <c r="E880" s="20"/>
      <c r="F880" s="2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4.25" customHeight="1" x14ac:dyDescent="0.3">
      <c r="A881" s="20"/>
      <c r="B881" s="20"/>
      <c r="C881" s="20"/>
      <c r="D881" s="20"/>
      <c r="E881" s="20"/>
      <c r="F881" s="2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4.25" customHeight="1" x14ac:dyDescent="0.3">
      <c r="A882" s="20"/>
      <c r="B882" s="20"/>
      <c r="C882" s="20"/>
      <c r="D882" s="20"/>
      <c r="E882" s="20"/>
      <c r="F882" s="2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4.25" customHeight="1" x14ac:dyDescent="0.3">
      <c r="A883" s="20"/>
      <c r="B883" s="20"/>
      <c r="C883" s="20"/>
      <c r="D883" s="20"/>
      <c r="E883" s="20"/>
      <c r="F883" s="2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4.25" customHeight="1" x14ac:dyDescent="0.3">
      <c r="A884" s="20"/>
      <c r="B884" s="20"/>
      <c r="C884" s="20"/>
      <c r="D884" s="20"/>
      <c r="E884" s="20"/>
      <c r="F884" s="2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4.25" customHeight="1" x14ac:dyDescent="0.3">
      <c r="A885" s="20"/>
      <c r="B885" s="20"/>
      <c r="C885" s="20"/>
      <c r="D885" s="20"/>
      <c r="E885" s="20"/>
      <c r="F885" s="2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4.25" customHeight="1" x14ac:dyDescent="0.3">
      <c r="A886" s="20"/>
      <c r="B886" s="20"/>
      <c r="C886" s="20"/>
      <c r="D886" s="20"/>
      <c r="E886" s="20"/>
      <c r="F886" s="2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4.25" customHeight="1" x14ac:dyDescent="0.3">
      <c r="A887" s="20"/>
      <c r="B887" s="20"/>
      <c r="C887" s="20"/>
      <c r="D887" s="20"/>
      <c r="E887" s="20"/>
      <c r="F887" s="2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4.25" customHeight="1" x14ac:dyDescent="0.3">
      <c r="A888" s="20"/>
      <c r="B888" s="20"/>
      <c r="C888" s="20"/>
      <c r="D888" s="20"/>
      <c r="E888" s="20"/>
      <c r="F888" s="2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4.25" customHeight="1" x14ac:dyDescent="0.3">
      <c r="A889" s="20"/>
      <c r="B889" s="20"/>
      <c r="C889" s="20"/>
      <c r="D889" s="20"/>
      <c r="E889" s="20"/>
      <c r="F889" s="2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4.25" customHeight="1" x14ac:dyDescent="0.3">
      <c r="A890" s="20"/>
      <c r="B890" s="20"/>
      <c r="C890" s="20"/>
      <c r="D890" s="20"/>
      <c r="E890" s="20"/>
      <c r="F890" s="2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4.25" customHeight="1" x14ac:dyDescent="0.3">
      <c r="A891" s="20"/>
      <c r="B891" s="20"/>
      <c r="C891" s="20"/>
      <c r="D891" s="20"/>
      <c r="E891" s="20"/>
      <c r="F891" s="2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4.25" customHeight="1" x14ac:dyDescent="0.3">
      <c r="A892" s="20"/>
      <c r="B892" s="20"/>
      <c r="C892" s="20"/>
      <c r="D892" s="20"/>
      <c r="E892" s="20"/>
      <c r="F892" s="2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4.25" customHeight="1" x14ac:dyDescent="0.3">
      <c r="A893" s="20"/>
      <c r="B893" s="20"/>
      <c r="C893" s="20"/>
      <c r="D893" s="20"/>
      <c r="E893" s="20"/>
      <c r="F893" s="2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4.25" customHeight="1" x14ac:dyDescent="0.3">
      <c r="A894" s="20"/>
      <c r="B894" s="20"/>
      <c r="C894" s="20"/>
      <c r="D894" s="20"/>
      <c r="E894" s="20"/>
      <c r="F894" s="2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4.25" customHeight="1" x14ac:dyDescent="0.3">
      <c r="A895" s="20"/>
      <c r="B895" s="20"/>
      <c r="C895" s="20"/>
      <c r="D895" s="20"/>
      <c r="E895" s="20"/>
      <c r="F895" s="2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4.25" customHeight="1" x14ac:dyDescent="0.3">
      <c r="A896" s="20"/>
      <c r="B896" s="20"/>
      <c r="C896" s="20"/>
      <c r="D896" s="20"/>
      <c r="E896" s="20"/>
      <c r="F896" s="2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4.25" customHeight="1" x14ac:dyDescent="0.3">
      <c r="A897" s="20"/>
      <c r="B897" s="20"/>
      <c r="C897" s="20"/>
      <c r="D897" s="20"/>
      <c r="E897" s="20"/>
      <c r="F897" s="2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4.25" customHeight="1" x14ac:dyDescent="0.3">
      <c r="A898" s="20"/>
      <c r="B898" s="20"/>
      <c r="C898" s="20"/>
      <c r="D898" s="20"/>
      <c r="E898" s="20"/>
      <c r="F898" s="2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4.25" customHeight="1" x14ac:dyDescent="0.3">
      <c r="A899" s="20"/>
      <c r="B899" s="20"/>
      <c r="C899" s="20"/>
      <c r="D899" s="20"/>
      <c r="E899" s="20"/>
      <c r="F899" s="2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4.25" customHeight="1" x14ac:dyDescent="0.3">
      <c r="A900" s="20"/>
      <c r="B900" s="20"/>
      <c r="C900" s="20"/>
      <c r="D900" s="20"/>
      <c r="E900" s="20"/>
      <c r="F900" s="2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4.25" customHeight="1" x14ac:dyDescent="0.3">
      <c r="A901" s="20"/>
      <c r="B901" s="20"/>
      <c r="C901" s="20"/>
      <c r="D901" s="20"/>
      <c r="E901" s="20"/>
      <c r="F901" s="2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4.25" customHeight="1" x14ac:dyDescent="0.3">
      <c r="A902" s="20"/>
      <c r="B902" s="20"/>
      <c r="C902" s="20"/>
      <c r="D902" s="20"/>
      <c r="E902" s="20"/>
      <c r="F902" s="2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4.25" customHeight="1" x14ac:dyDescent="0.3">
      <c r="A903" s="20"/>
      <c r="B903" s="20"/>
      <c r="C903" s="20"/>
      <c r="D903" s="20"/>
      <c r="E903" s="20"/>
      <c r="F903" s="2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4.25" customHeight="1" x14ac:dyDescent="0.3">
      <c r="A904" s="20"/>
      <c r="B904" s="20"/>
      <c r="C904" s="20"/>
      <c r="D904" s="20"/>
      <c r="E904" s="20"/>
      <c r="F904" s="2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4.25" customHeight="1" x14ac:dyDescent="0.3">
      <c r="A905" s="20"/>
      <c r="B905" s="20"/>
      <c r="C905" s="20"/>
      <c r="D905" s="20"/>
      <c r="E905" s="20"/>
      <c r="F905" s="2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4.25" customHeight="1" x14ac:dyDescent="0.3">
      <c r="A906" s="20"/>
      <c r="B906" s="20"/>
      <c r="C906" s="20"/>
      <c r="D906" s="20"/>
      <c r="E906" s="20"/>
      <c r="F906" s="2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4.25" customHeight="1" x14ac:dyDescent="0.3">
      <c r="A907" s="20"/>
      <c r="B907" s="20"/>
      <c r="C907" s="20"/>
      <c r="D907" s="20"/>
      <c r="E907" s="20"/>
      <c r="F907" s="2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4.25" customHeight="1" x14ac:dyDescent="0.3">
      <c r="A908" s="20"/>
      <c r="B908" s="20"/>
      <c r="C908" s="20"/>
      <c r="D908" s="20"/>
      <c r="E908" s="20"/>
      <c r="F908" s="2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4.25" customHeight="1" x14ac:dyDescent="0.3">
      <c r="A909" s="20"/>
      <c r="B909" s="20"/>
      <c r="C909" s="20"/>
      <c r="D909" s="20"/>
      <c r="E909" s="20"/>
      <c r="F909" s="2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4.25" customHeight="1" x14ac:dyDescent="0.3">
      <c r="A910" s="20"/>
      <c r="B910" s="20"/>
      <c r="C910" s="20"/>
      <c r="D910" s="20"/>
      <c r="E910" s="20"/>
      <c r="F910" s="2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4.25" customHeight="1" x14ac:dyDescent="0.3">
      <c r="A911" s="20"/>
      <c r="B911" s="20"/>
      <c r="C911" s="20"/>
      <c r="D911" s="20"/>
      <c r="E911" s="20"/>
      <c r="F911" s="2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4.25" customHeight="1" x14ac:dyDescent="0.3">
      <c r="A912" s="20"/>
      <c r="B912" s="20"/>
      <c r="C912" s="20"/>
      <c r="D912" s="20"/>
      <c r="E912" s="20"/>
      <c r="F912" s="2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4.25" customHeight="1" x14ac:dyDescent="0.3">
      <c r="A913" s="20"/>
      <c r="B913" s="20"/>
      <c r="C913" s="20"/>
      <c r="D913" s="20"/>
      <c r="E913" s="20"/>
      <c r="F913" s="2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4.25" customHeight="1" x14ac:dyDescent="0.3">
      <c r="A914" s="20"/>
      <c r="B914" s="20"/>
      <c r="C914" s="20"/>
      <c r="D914" s="20"/>
      <c r="E914" s="20"/>
      <c r="F914" s="2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4.25" customHeight="1" x14ac:dyDescent="0.3">
      <c r="A915" s="20"/>
      <c r="B915" s="20"/>
      <c r="C915" s="20"/>
      <c r="D915" s="20"/>
      <c r="E915" s="20"/>
      <c r="F915" s="2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4.25" customHeight="1" x14ac:dyDescent="0.3">
      <c r="A916" s="20"/>
      <c r="B916" s="20"/>
      <c r="C916" s="20"/>
      <c r="D916" s="20"/>
      <c r="E916" s="20"/>
      <c r="F916" s="2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4.25" customHeight="1" x14ac:dyDescent="0.3">
      <c r="A917" s="20"/>
      <c r="B917" s="20"/>
      <c r="C917" s="20"/>
      <c r="D917" s="20"/>
      <c r="E917" s="20"/>
      <c r="F917" s="2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4.25" customHeight="1" x14ac:dyDescent="0.3">
      <c r="A918" s="20"/>
      <c r="B918" s="20"/>
      <c r="C918" s="20"/>
      <c r="D918" s="20"/>
      <c r="E918" s="20"/>
      <c r="F918" s="2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4.25" customHeight="1" x14ac:dyDescent="0.3">
      <c r="A919" s="20"/>
      <c r="B919" s="20"/>
      <c r="C919" s="20"/>
      <c r="D919" s="20"/>
      <c r="E919" s="20"/>
      <c r="F919" s="2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4.25" customHeight="1" x14ac:dyDescent="0.3">
      <c r="A920" s="20"/>
      <c r="B920" s="20"/>
      <c r="C920" s="20"/>
      <c r="D920" s="20"/>
      <c r="E920" s="20"/>
      <c r="F920" s="2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4.25" customHeight="1" x14ac:dyDescent="0.3">
      <c r="A921" s="20"/>
      <c r="B921" s="20"/>
      <c r="C921" s="20"/>
      <c r="D921" s="20"/>
      <c r="E921" s="20"/>
      <c r="F921" s="2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4.25" customHeight="1" x14ac:dyDescent="0.3">
      <c r="A922" s="20"/>
      <c r="B922" s="20"/>
      <c r="C922" s="20"/>
      <c r="D922" s="20"/>
      <c r="E922" s="20"/>
      <c r="F922" s="2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4.25" customHeight="1" x14ac:dyDescent="0.3">
      <c r="A923" s="20"/>
      <c r="B923" s="20"/>
      <c r="C923" s="20"/>
      <c r="D923" s="20"/>
      <c r="E923" s="20"/>
      <c r="F923" s="2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4.25" customHeight="1" x14ac:dyDescent="0.3">
      <c r="A924" s="20"/>
      <c r="B924" s="20"/>
      <c r="C924" s="20"/>
      <c r="D924" s="20"/>
      <c r="E924" s="20"/>
      <c r="F924" s="2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4.25" customHeight="1" x14ac:dyDescent="0.3">
      <c r="A925" s="20"/>
      <c r="B925" s="20"/>
      <c r="C925" s="20"/>
      <c r="D925" s="20"/>
      <c r="E925" s="20"/>
      <c r="F925" s="2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4.25" customHeight="1" x14ac:dyDescent="0.3">
      <c r="A926" s="20"/>
      <c r="B926" s="20"/>
      <c r="C926" s="20"/>
      <c r="D926" s="20"/>
      <c r="E926" s="20"/>
      <c r="F926" s="2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4.25" customHeight="1" x14ac:dyDescent="0.3">
      <c r="A927" s="20"/>
      <c r="B927" s="20"/>
      <c r="C927" s="20"/>
      <c r="D927" s="20"/>
      <c r="E927" s="20"/>
      <c r="F927" s="2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4.25" customHeight="1" x14ac:dyDescent="0.3">
      <c r="A928" s="20"/>
      <c r="B928" s="20"/>
      <c r="C928" s="20"/>
      <c r="D928" s="20"/>
      <c r="E928" s="20"/>
      <c r="F928" s="2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4.25" customHeight="1" x14ac:dyDescent="0.3">
      <c r="A929" s="20"/>
      <c r="B929" s="20"/>
      <c r="C929" s="20"/>
      <c r="D929" s="20"/>
      <c r="E929" s="20"/>
      <c r="F929" s="2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4.25" customHeight="1" x14ac:dyDescent="0.3">
      <c r="A930" s="20"/>
      <c r="B930" s="20"/>
      <c r="C930" s="20"/>
      <c r="D930" s="20"/>
      <c r="E930" s="20"/>
      <c r="F930" s="2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4.25" customHeight="1" x14ac:dyDescent="0.3">
      <c r="A931" s="20"/>
      <c r="B931" s="20"/>
      <c r="C931" s="20"/>
      <c r="D931" s="20"/>
      <c r="E931" s="20"/>
      <c r="F931" s="2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4.25" customHeight="1" x14ac:dyDescent="0.3">
      <c r="A932" s="20"/>
      <c r="B932" s="20"/>
      <c r="C932" s="20"/>
      <c r="D932" s="20"/>
      <c r="E932" s="20"/>
      <c r="F932" s="2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4.25" customHeight="1" x14ac:dyDescent="0.3">
      <c r="A933" s="20"/>
      <c r="B933" s="20"/>
      <c r="C933" s="20"/>
      <c r="D933" s="20"/>
      <c r="E933" s="20"/>
      <c r="F933" s="2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4.25" customHeight="1" x14ac:dyDescent="0.3">
      <c r="A934" s="20"/>
      <c r="B934" s="20"/>
      <c r="C934" s="20"/>
      <c r="D934" s="20"/>
      <c r="E934" s="20"/>
      <c r="F934" s="2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4.25" customHeight="1" x14ac:dyDescent="0.3">
      <c r="A935" s="20"/>
      <c r="B935" s="20"/>
      <c r="C935" s="20"/>
      <c r="D935" s="20"/>
      <c r="E935" s="20"/>
      <c r="F935" s="2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4.25" customHeight="1" x14ac:dyDescent="0.3">
      <c r="A936" s="20"/>
      <c r="B936" s="20"/>
      <c r="C936" s="20"/>
      <c r="D936" s="20"/>
      <c r="E936" s="20"/>
      <c r="F936" s="2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4.25" customHeight="1" x14ac:dyDescent="0.3">
      <c r="A937" s="20"/>
      <c r="B937" s="20"/>
      <c r="C937" s="20"/>
      <c r="D937" s="20"/>
      <c r="E937" s="20"/>
      <c r="F937" s="2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4.25" customHeight="1" x14ac:dyDescent="0.3">
      <c r="A938" s="20"/>
      <c r="B938" s="20"/>
      <c r="C938" s="20"/>
      <c r="D938" s="20"/>
      <c r="E938" s="20"/>
      <c r="F938" s="2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4.25" customHeight="1" x14ac:dyDescent="0.3">
      <c r="A939" s="20"/>
      <c r="B939" s="20"/>
      <c r="C939" s="20"/>
      <c r="D939" s="20"/>
      <c r="E939" s="20"/>
      <c r="F939" s="2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4.25" customHeight="1" x14ac:dyDescent="0.3">
      <c r="A940" s="20"/>
      <c r="B940" s="20"/>
      <c r="C940" s="20"/>
      <c r="D940" s="20"/>
      <c r="E940" s="20"/>
      <c r="F940" s="2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4.25" customHeight="1" x14ac:dyDescent="0.3">
      <c r="A941" s="20"/>
      <c r="B941" s="20"/>
      <c r="C941" s="20"/>
      <c r="D941" s="20"/>
      <c r="E941" s="20"/>
      <c r="F941" s="2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4.25" customHeight="1" x14ac:dyDescent="0.3">
      <c r="A942" s="20"/>
      <c r="B942" s="20"/>
      <c r="C942" s="20"/>
      <c r="D942" s="20"/>
      <c r="E942" s="20"/>
      <c r="F942" s="2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4.25" customHeight="1" x14ac:dyDescent="0.3">
      <c r="A943" s="20"/>
      <c r="B943" s="20"/>
      <c r="C943" s="20"/>
      <c r="D943" s="20"/>
      <c r="E943" s="20"/>
      <c r="F943" s="2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4.25" customHeight="1" x14ac:dyDescent="0.3">
      <c r="A944" s="20"/>
      <c r="B944" s="20"/>
      <c r="C944" s="20"/>
      <c r="D944" s="20"/>
      <c r="E944" s="20"/>
      <c r="F944" s="2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4.25" customHeight="1" x14ac:dyDescent="0.3">
      <c r="A945" s="20"/>
      <c r="B945" s="20"/>
      <c r="C945" s="20"/>
      <c r="D945" s="20"/>
      <c r="E945" s="20"/>
      <c r="F945" s="2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4.25" customHeight="1" x14ac:dyDescent="0.3">
      <c r="A946" s="20"/>
      <c r="B946" s="20"/>
      <c r="C946" s="20"/>
      <c r="D946" s="20"/>
      <c r="E946" s="20"/>
      <c r="F946" s="2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4.25" customHeight="1" x14ac:dyDescent="0.3">
      <c r="A947" s="20"/>
      <c r="B947" s="20"/>
      <c r="C947" s="20"/>
      <c r="D947" s="20"/>
      <c r="E947" s="20"/>
      <c r="F947" s="2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4.25" customHeight="1" x14ac:dyDescent="0.3">
      <c r="A948" s="20"/>
      <c r="B948" s="20"/>
      <c r="C948" s="20"/>
      <c r="D948" s="20"/>
      <c r="E948" s="20"/>
      <c r="F948" s="2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4.25" customHeight="1" x14ac:dyDescent="0.3">
      <c r="A949" s="20"/>
      <c r="B949" s="20"/>
      <c r="C949" s="20"/>
      <c r="D949" s="20"/>
      <c r="E949" s="20"/>
      <c r="F949" s="2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4.25" customHeight="1" x14ac:dyDescent="0.3">
      <c r="A950" s="20"/>
      <c r="B950" s="20"/>
      <c r="C950" s="20"/>
      <c r="D950" s="20"/>
      <c r="E950" s="20"/>
      <c r="F950" s="2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4.25" customHeight="1" x14ac:dyDescent="0.3">
      <c r="A951" s="20"/>
      <c r="B951" s="20"/>
      <c r="C951" s="20"/>
      <c r="D951" s="20"/>
      <c r="E951" s="20"/>
      <c r="F951" s="2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4.25" customHeight="1" x14ac:dyDescent="0.3">
      <c r="A952" s="20"/>
      <c r="B952" s="20"/>
      <c r="C952" s="20"/>
      <c r="D952" s="20"/>
      <c r="E952" s="20"/>
      <c r="F952" s="2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4.25" customHeight="1" x14ac:dyDescent="0.3">
      <c r="A953" s="20"/>
      <c r="B953" s="20"/>
      <c r="C953" s="20"/>
      <c r="D953" s="20"/>
      <c r="E953" s="20"/>
      <c r="F953" s="2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4.25" customHeight="1" x14ac:dyDescent="0.3">
      <c r="A954" s="20"/>
      <c r="B954" s="20"/>
      <c r="C954" s="20"/>
      <c r="D954" s="20"/>
      <c r="E954" s="20"/>
      <c r="F954" s="2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4.25" customHeight="1" x14ac:dyDescent="0.3">
      <c r="A955" s="20"/>
      <c r="B955" s="20"/>
      <c r="C955" s="20"/>
      <c r="D955" s="20"/>
      <c r="E955" s="20"/>
      <c r="F955" s="2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4.25" customHeight="1" x14ac:dyDescent="0.3">
      <c r="A956" s="20"/>
      <c r="B956" s="20"/>
      <c r="C956" s="20"/>
      <c r="D956" s="20"/>
      <c r="E956" s="20"/>
      <c r="F956" s="2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4.25" customHeight="1" x14ac:dyDescent="0.3">
      <c r="A957" s="20"/>
      <c r="B957" s="20"/>
      <c r="C957" s="20"/>
      <c r="D957" s="20"/>
      <c r="E957" s="20"/>
      <c r="F957" s="2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4.25" customHeight="1" x14ac:dyDescent="0.3">
      <c r="A958" s="20"/>
      <c r="B958" s="20"/>
      <c r="C958" s="20"/>
      <c r="D958" s="20"/>
      <c r="E958" s="20"/>
      <c r="F958" s="2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4.25" customHeight="1" x14ac:dyDescent="0.3">
      <c r="A959" s="20"/>
      <c r="B959" s="20"/>
      <c r="C959" s="20"/>
      <c r="D959" s="20"/>
      <c r="E959" s="20"/>
      <c r="F959" s="2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4.25" customHeight="1" x14ac:dyDescent="0.3">
      <c r="A960" s="20"/>
      <c r="B960" s="20"/>
      <c r="C960" s="20"/>
      <c r="D960" s="20"/>
      <c r="E960" s="20"/>
      <c r="F960" s="2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4.25" customHeight="1" x14ac:dyDescent="0.3">
      <c r="A961" s="20"/>
      <c r="B961" s="20"/>
      <c r="C961" s="20"/>
      <c r="D961" s="20"/>
      <c r="E961" s="20"/>
      <c r="F961" s="2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4.25" customHeight="1" x14ac:dyDescent="0.3">
      <c r="A962" s="20"/>
      <c r="B962" s="20"/>
      <c r="C962" s="20"/>
      <c r="D962" s="20"/>
      <c r="E962" s="20"/>
      <c r="F962" s="2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4.25" customHeight="1" x14ac:dyDescent="0.3">
      <c r="A963" s="20"/>
      <c r="B963" s="20"/>
      <c r="C963" s="20"/>
      <c r="D963" s="20"/>
      <c r="E963" s="20"/>
      <c r="F963" s="2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4.25" customHeight="1" x14ac:dyDescent="0.3">
      <c r="A964" s="20"/>
      <c r="B964" s="20"/>
      <c r="C964" s="20"/>
      <c r="D964" s="20"/>
      <c r="E964" s="20"/>
      <c r="F964" s="2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4.25" customHeight="1" x14ac:dyDescent="0.3">
      <c r="A965" s="20"/>
      <c r="B965" s="20"/>
      <c r="C965" s="20"/>
      <c r="D965" s="20"/>
      <c r="E965" s="20"/>
      <c r="F965" s="2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4.25" customHeight="1" x14ac:dyDescent="0.3">
      <c r="A966" s="20"/>
      <c r="B966" s="20"/>
      <c r="C966" s="20"/>
      <c r="D966" s="20"/>
      <c r="E966" s="20"/>
      <c r="F966" s="2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4.25" customHeight="1" x14ac:dyDescent="0.3">
      <c r="A967" s="20"/>
      <c r="B967" s="20"/>
      <c r="C967" s="20"/>
      <c r="D967" s="20"/>
      <c r="E967" s="20"/>
      <c r="F967" s="2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4.25" customHeight="1" x14ac:dyDescent="0.3">
      <c r="A968" s="20"/>
      <c r="B968" s="20"/>
      <c r="C968" s="20"/>
      <c r="D968" s="20"/>
      <c r="E968" s="20"/>
      <c r="F968" s="2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4.25" customHeight="1" x14ac:dyDescent="0.3">
      <c r="A969" s="20"/>
      <c r="B969" s="20"/>
      <c r="C969" s="20"/>
      <c r="D969" s="20"/>
      <c r="E969" s="20"/>
      <c r="F969" s="2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4.25" customHeight="1" x14ac:dyDescent="0.3">
      <c r="A970" s="20"/>
      <c r="B970" s="20"/>
      <c r="C970" s="20"/>
      <c r="D970" s="20"/>
      <c r="E970" s="20"/>
      <c r="F970" s="2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4.25" customHeight="1" x14ac:dyDescent="0.3">
      <c r="A971" s="20"/>
      <c r="B971" s="20"/>
      <c r="C971" s="20"/>
      <c r="D971" s="20"/>
      <c r="E971" s="20"/>
      <c r="F971" s="2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4.25" customHeight="1" x14ac:dyDescent="0.3">
      <c r="A972" s="20"/>
      <c r="B972" s="20"/>
      <c r="C972" s="20"/>
      <c r="D972" s="20"/>
      <c r="E972" s="20"/>
      <c r="F972" s="2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4.25" customHeight="1" x14ac:dyDescent="0.3">
      <c r="A973" s="20"/>
      <c r="B973" s="20"/>
      <c r="C973" s="20"/>
      <c r="D973" s="20"/>
      <c r="E973" s="20"/>
      <c r="F973" s="2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4.25" customHeight="1" x14ac:dyDescent="0.3">
      <c r="A974" s="20"/>
      <c r="B974" s="20"/>
      <c r="C974" s="20"/>
      <c r="D974" s="20"/>
      <c r="E974" s="20"/>
      <c r="F974" s="2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4.25" customHeight="1" x14ac:dyDescent="0.3">
      <c r="A975" s="20"/>
      <c r="B975" s="20"/>
      <c r="C975" s="20"/>
      <c r="D975" s="20"/>
      <c r="E975" s="20"/>
      <c r="F975" s="2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4.25" customHeight="1" x14ac:dyDescent="0.3">
      <c r="A976" s="20"/>
      <c r="B976" s="20"/>
      <c r="C976" s="20"/>
      <c r="D976" s="20"/>
      <c r="E976" s="20"/>
      <c r="F976" s="2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4.25" customHeight="1" x14ac:dyDescent="0.3">
      <c r="A977" s="20"/>
      <c r="B977" s="20"/>
      <c r="C977" s="20"/>
      <c r="D977" s="20"/>
      <c r="E977" s="20"/>
      <c r="F977" s="2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4.25" customHeight="1" x14ac:dyDescent="0.3">
      <c r="A978" s="20"/>
      <c r="B978" s="20"/>
      <c r="C978" s="20"/>
      <c r="D978" s="20"/>
      <c r="E978" s="20"/>
      <c r="F978" s="2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4.25" customHeight="1" x14ac:dyDescent="0.3">
      <c r="A979" s="20"/>
      <c r="B979" s="20"/>
      <c r="C979" s="20"/>
      <c r="D979" s="20"/>
      <c r="E979" s="20"/>
      <c r="F979" s="2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4.25" customHeight="1" x14ac:dyDescent="0.3">
      <c r="A980" s="20"/>
      <c r="B980" s="20"/>
      <c r="C980" s="20"/>
      <c r="D980" s="20"/>
      <c r="E980" s="20"/>
      <c r="F980" s="2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4.25" customHeight="1" x14ac:dyDescent="0.3">
      <c r="A981" s="20"/>
      <c r="B981" s="20"/>
      <c r="C981" s="20"/>
      <c r="D981" s="20"/>
      <c r="E981" s="20"/>
      <c r="F981" s="2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4.25" customHeight="1" x14ac:dyDescent="0.3">
      <c r="A982" s="20"/>
      <c r="B982" s="20"/>
      <c r="C982" s="20"/>
      <c r="D982" s="20"/>
      <c r="E982" s="20"/>
      <c r="F982" s="2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4.25" customHeight="1" x14ac:dyDescent="0.3">
      <c r="A983" s="20"/>
      <c r="B983" s="20"/>
      <c r="C983" s="20"/>
      <c r="D983" s="20"/>
      <c r="E983" s="20"/>
      <c r="F983" s="2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4.25" customHeight="1" x14ac:dyDescent="0.3">
      <c r="A984" s="20"/>
      <c r="B984" s="20"/>
      <c r="C984" s="20"/>
      <c r="D984" s="20"/>
      <c r="E984" s="20"/>
      <c r="F984" s="2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4.25" customHeight="1" x14ac:dyDescent="0.3">
      <c r="A985" s="20"/>
      <c r="B985" s="20"/>
      <c r="C985" s="20"/>
      <c r="D985" s="20"/>
      <c r="E985" s="20"/>
      <c r="F985" s="2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4.25" customHeight="1" x14ac:dyDescent="0.3">
      <c r="A986" s="20"/>
      <c r="B986" s="20"/>
      <c r="C986" s="20"/>
      <c r="D986" s="20"/>
      <c r="E986" s="20"/>
      <c r="F986" s="2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4.25" customHeight="1" x14ac:dyDescent="0.3">
      <c r="A987" s="20"/>
      <c r="B987" s="20"/>
      <c r="C987" s="20"/>
      <c r="D987" s="20"/>
      <c r="E987" s="20"/>
      <c r="F987" s="2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4.25" customHeight="1" x14ac:dyDescent="0.3">
      <c r="A988" s="20"/>
      <c r="B988" s="20"/>
      <c r="C988" s="20"/>
      <c r="D988" s="20"/>
      <c r="E988" s="20"/>
      <c r="F988" s="2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4.25" customHeight="1" x14ac:dyDescent="0.3">
      <c r="A989" s="20"/>
      <c r="B989" s="20"/>
      <c r="C989" s="20"/>
      <c r="D989" s="20"/>
      <c r="E989" s="20"/>
      <c r="F989" s="2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4.25" customHeight="1" x14ac:dyDescent="0.3">
      <c r="A990" s="20"/>
      <c r="B990" s="20"/>
      <c r="C990" s="20"/>
      <c r="D990" s="20"/>
      <c r="E990" s="20"/>
      <c r="F990" s="2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4.25" customHeight="1" x14ac:dyDescent="0.3">
      <c r="A991" s="20"/>
      <c r="B991" s="20"/>
      <c r="C991" s="20"/>
      <c r="D991" s="20"/>
      <c r="E991" s="20"/>
      <c r="F991" s="2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4.25" customHeight="1" x14ac:dyDescent="0.3">
      <c r="A992" s="20"/>
      <c r="B992" s="20"/>
      <c r="C992" s="20"/>
      <c r="D992" s="20"/>
      <c r="E992" s="20"/>
      <c r="F992" s="2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4.25" customHeight="1" x14ac:dyDescent="0.3">
      <c r="A993" s="20"/>
      <c r="B993" s="20"/>
      <c r="C993" s="20"/>
      <c r="D993" s="20"/>
      <c r="E993" s="20"/>
      <c r="F993" s="2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4.25" customHeight="1" x14ac:dyDescent="0.3">
      <c r="A994" s="20"/>
      <c r="B994" s="20"/>
      <c r="C994" s="20"/>
      <c r="D994" s="20"/>
      <c r="E994" s="20"/>
      <c r="F994" s="2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4.25" customHeight="1" x14ac:dyDescent="0.3">
      <c r="A995" s="20"/>
      <c r="B995" s="20"/>
      <c r="C995" s="20"/>
      <c r="D995" s="20"/>
      <c r="E995" s="20"/>
      <c r="F995" s="2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4.25" customHeight="1" x14ac:dyDescent="0.3">
      <c r="A996" s="20"/>
      <c r="B996" s="20"/>
      <c r="C996" s="20"/>
      <c r="D996" s="20"/>
      <c r="E996" s="20"/>
      <c r="F996" s="2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4.25" customHeight="1" x14ac:dyDescent="0.3">
      <c r="A997" s="20"/>
      <c r="B997" s="20"/>
      <c r="C997" s="20"/>
      <c r="D997" s="20"/>
      <c r="E997" s="20"/>
      <c r="F997" s="2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4.25" customHeight="1" x14ac:dyDescent="0.3">
      <c r="A998" s="20"/>
      <c r="B998" s="20"/>
      <c r="C998" s="20"/>
      <c r="D998" s="20"/>
      <c r="E998" s="20"/>
      <c r="F998" s="2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4.25" customHeight="1" x14ac:dyDescent="0.3">
      <c r="A999" s="20"/>
      <c r="B999" s="20"/>
      <c r="C999" s="20"/>
      <c r="D999" s="20"/>
      <c r="E999" s="20"/>
      <c r="F999" s="2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4.25" customHeight="1" x14ac:dyDescent="0.3">
      <c r="A1000" s="20"/>
      <c r="B1000" s="20"/>
      <c r="C1000" s="20"/>
      <c r="D1000" s="20"/>
      <c r="E1000" s="20"/>
      <c r="F1000" s="21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DCF3-E765-47C9-ACFE-4719968F423C}">
  <dimension ref="A1:K73"/>
  <sheetViews>
    <sheetView topLeftCell="B1" zoomScaleNormal="100" workbookViewId="0">
      <selection activeCell="H75" sqref="H75"/>
    </sheetView>
  </sheetViews>
  <sheetFormatPr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1.7773437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3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0</v>
      </c>
      <c r="H2" t="s">
        <v>7</v>
      </c>
      <c r="I2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  <c r="J2" s="13"/>
      <c r="K2" s="3">
        <f>SUM(I2:I73)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2</v>
      </c>
      <c r="H3" t="s">
        <v>12</v>
      </c>
      <c r="I3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3</v>
      </c>
      <c r="H4" t="s">
        <v>16</v>
      </c>
      <c r="I4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2</v>
      </c>
      <c r="F5" s="12" t="s">
        <v>145</v>
      </c>
      <c r="G5" s="12">
        <v>3</v>
      </c>
      <c r="H5" t="s">
        <v>20</v>
      </c>
      <c r="I5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3</v>
      </c>
      <c r="H6" t="s">
        <v>24</v>
      </c>
      <c r="I6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3</v>
      </c>
      <c r="F7" s="12" t="s">
        <v>145</v>
      </c>
      <c r="G7" s="12">
        <v>0</v>
      </c>
      <c r="H7" t="s">
        <v>28</v>
      </c>
      <c r="I7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4</v>
      </c>
      <c r="H8" t="s">
        <v>32</v>
      </c>
      <c r="I8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3</v>
      </c>
      <c r="F9" s="12" t="s">
        <v>145</v>
      </c>
      <c r="G9" s="12">
        <v>0</v>
      </c>
      <c r="H9" t="s">
        <v>35</v>
      </c>
      <c r="I9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5</v>
      </c>
      <c r="F10" s="12" t="s">
        <v>145</v>
      </c>
      <c r="G10" s="12">
        <v>0</v>
      </c>
      <c r="H10" t="s">
        <v>40</v>
      </c>
      <c r="I10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1</v>
      </c>
      <c r="F11" s="12" t="s">
        <v>145</v>
      </c>
      <c r="G11" s="12">
        <v>3</v>
      </c>
      <c r="H11" t="s">
        <v>44</v>
      </c>
      <c r="I11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0</v>
      </c>
      <c r="F12" s="12" t="s">
        <v>145</v>
      </c>
      <c r="G12" s="12">
        <v>2</v>
      </c>
      <c r="H12" t="s">
        <v>48</v>
      </c>
      <c r="I12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2</v>
      </c>
      <c r="F13" s="12" t="s">
        <v>145</v>
      </c>
      <c r="G13" s="12">
        <v>1</v>
      </c>
      <c r="H13" t="s">
        <v>52</v>
      </c>
      <c r="I13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4</v>
      </c>
      <c r="F14" s="12" t="s">
        <v>145</v>
      </c>
      <c r="G14" s="12">
        <v>0</v>
      </c>
      <c r="H14" t="s">
        <v>55</v>
      </c>
      <c r="I14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1</v>
      </c>
      <c r="F15" s="12" t="s">
        <v>145</v>
      </c>
      <c r="G15" s="12">
        <v>0</v>
      </c>
      <c r="H15" t="s">
        <v>60</v>
      </c>
      <c r="I15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0</v>
      </c>
      <c r="H17" t="s">
        <v>66</v>
      </c>
      <c r="I17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4</v>
      </c>
      <c r="F18" s="12" t="s">
        <v>145</v>
      </c>
      <c r="G18" s="12">
        <v>0</v>
      </c>
      <c r="H18" t="s">
        <v>69</v>
      </c>
      <c r="I18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2</v>
      </c>
      <c r="F19" s="12" t="s">
        <v>145</v>
      </c>
      <c r="G19" s="12">
        <v>2</v>
      </c>
      <c r="H19" t="s">
        <v>73</v>
      </c>
      <c r="I19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2</v>
      </c>
      <c r="F20" s="12" t="s">
        <v>145</v>
      </c>
      <c r="G20" s="12">
        <v>2</v>
      </c>
      <c r="H20" t="s">
        <v>76</v>
      </c>
      <c r="I20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0</v>
      </c>
      <c r="H21" t="s">
        <v>79</v>
      </c>
      <c r="I21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0</v>
      </c>
      <c r="H22" t="s">
        <v>83</v>
      </c>
      <c r="I22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3</v>
      </c>
      <c r="F23" s="12" t="s">
        <v>145</v>
      </c>
      <c r="G23" s="12">
        <v>0</v>
      </c>
      <c r="H23" t="s">
        <v>86</v>
      </c>
      <c r="I23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3</v>
      </c>
      <c r="F24" s="12" t="s">
        <v>145</v>
      </c>
      <c r="G24" s="12">
        <v>0</v>
      </c>
      <c r="H24" t="s">
        <v>89</v>
      </c>
      <c r="I24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3</v>
      </c>
      <c r="H25" t="s">
        <v>92</v>
      </c>
      <c r="I25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2</v>
      </c>
      <c r="H26" t="s">
        <v>7</v>
      </c>
      <c r="I26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1</v>
      </c>
      <c r="F27" s="12" t="s">
        <v>145</v>
      </c>
      <c r="G27" s="12">
        <v>0</v>
      </c>
      <c r="H27" t="s">
        <v>16</v>
      </c>
      <c r="I27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2</v>
      </c>
      <c r="H28" t="s">
        <v>23</v>
      </c>
      <c r="I28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1</v>
      </c>
      <c r="F29" s="12" t="s">
        <v>145</v>
      </c>
      <c r="G29" s="12">
        <v>2</v>
      </c>
      <c r="H29" t="s">
        <v>11</v>
      </c>
      <c r="I29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2</v>
      </c>
      <c r="H30" t="s">
        <v>34</v>
      </c>
      <c r="I30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2</v>
      </c>
      <c r="F31" s="12" t="s">
        <v>145</v>
      </c>
      <c r="G31" s="12">
        <v>0</v>
      </c>
      <c r="H31" t="s">
        <v>28</v>
      </c>
      <c r="I31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3</v>
      </c>
      <c r="F32" s="12" t="s">
        <v>145</v>
      </c>
      <c r="G32" s="12">
        <v>0</v>
      </c>
      <c r="H32" t="s">
        <v>31</v>
      </c>
      <c r="I32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0</v>
      </c>
      <c r="F33" s="12" t="s">
        <v>145</v>
      </c>
      <c r="G33" s="12">
        <v>2</v>
      </c>
      <c r="H33" t="s">
        <v>20</v>
      </c>
      <c r="I33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2</v>
      </c>
      <c r="H34" t="s">
        <v>51</v>
      </c>
      <c r="I34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3</v>
      </c>
      <c r="F35" s="12" t="s">
        <v>145</v>
      </c>
      <c r="G35" s="12">
        <v>1</v>
      </c>
      <c r="H35" t="s">
        <v>47</v>
      </c>
      <c r="I35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2</v>
      </c>
      <c r="H37" t="s">
        <v>44</v>
      </c>
      <c r="I37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1</v>
      </c>
      <c r="H38" t="s">
        <v>62</v>
      </c>
      <c r="I38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1</v>
      </c>
      <c r="F39" s="12" t="s">
        <v>145</v>
      </c>
      <c r="G39" s="12">
        <v>1</v>
      </c>
      <c r="H39" t="s">
        <v>65</v>
      </c>
      <c r="I39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2</v>
      </c>
      <c r="F40" s="12" t="s">
        <v>145</v>
      </c>
      <c r="G40" s="12">
        <v>0</v>
      </c>
      <c r="H40" t="s">
        <v>55</v>
      </c>
      <c r="I40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0</v>
      </c>
      <c r="H41" t="s">
        <v>60</v>
      </c>
      <c r="I41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1</v>
      </c>
      <c r="H42" t="s">
        <v>78</v>
      </c>
      <c r="I42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1</v>
      </c>
      <c r="H43" t="s">
        <v>72</v>
      </c>
      <c r="I43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0</v>
      </c>
      <c r="F44" s="12" t="s">
        <v>145</v>
      </c>
      <c r="G44" s="12">
        <v>2</v>
      </c>
      <c r="H44" t="s">
        <v>69</v>
      </c>
      <c r="I44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2</v>
      </c>
      <c r="H45" t="s">
        <v>76</v>
      </c>
      <c r="I45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0</v>
      </c>
      <c r="H46" t="s">
        <v>91</v>
      </c>
      <c r="I46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3</v>
      </c>
      <c r="F47" s="12" t="s">
        <v>145</v>
      </c>
      <c r="G47" s="12">
        <v>2</v>
      </c>
      <c r="H47" t="s">
        <v>88</v>
      </c>
      <c r="I47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0</v>
      </c>
      <c r="H49" t="s">
        <v>83</v>
      </c>
      <c r="I49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1</v>
      </c>
      <c r="H50" t="s">
        <v>23</v>
      </c>
      <c r="I50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2</v>
      </c>
      <c r="F51" s="12" t="s">
        <v>145</v>
      </c>
      <c r="G51" s="12">
        <v>1</v>
      </c>
      <c r="H51" t="s">
        <v>15</v>
      </c>
      <c r="I51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3</v>
      </c>
      <c r="H52" t="s">
        <v>27</v>
      </c>
      <c r="I52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2</v>
      </c>
      <c r="F53" s="12" t="s">
        <v>145</v>
      </c>
      <c r="G53" s="12">
        <v>1</v>
      </c>
      <c r="H53" t="s">
        <v>31</v>
      </c>
      <c r="I53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3</v>
      </c>
      <c r="F54" s="12" t="s">
        <v>145</v>
      </c>
      <c r="G54" s="12">
        <v>1</v>
      </c>
      <c r="H54" t="s">
        <v>11</v>
      </c>
      <c r="I54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0</v>
      </c>
      <c r="F55" s="12" t="s">
        <v>145</v>
      </c>
      <c r="G55" s="12">
        <v>2</v>
      </c>
      <c r="H55" t="s">
        <v>6</v>
      </c>
      <c r="I55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3</v>
      </c>
      <c r="H56" t="s">
        <v>47</v>
      </c>
      <c r="I56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0</v>
      </c>
      <c r="F57" s="12" t="s">
        <v>145</v>
      </c>
      <c r="G57" s="12">
        <v>4</v>
      </c>
      <c r="H57" t="s">
        <v>39</v>
      </c>
      <c r="I57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2</v>
      </c>
      <c r="H58" t="s">
        <v>51</v>
      </c>
      <c r="I58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1</v>
      </c>
      <c r="H59" t="s">
        <v>43</v>
      </c>
      <c r="I59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0</v>
      </c>
      <c r="F60" s="12" t="s">
        <v>145</v>
      </c>
      <c r="G60" s="12">
        <v>0</v>
      </c>
      <c r="H60" t="s">
        <v>34</v>
      </c>
      <c r="I60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3</v>
      </c>
      <c r="H61" t="s">
        <v>19</v>
      </c>
      <c r="I61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0</v>
      </c>
      <c r="F62" s="12" t="s">
        <v>145</v>
      </c>
      <c r="G62" s="12">
        <v>3</v>
      </c>
      <c r="H62" t="s">
        <v>68</v>
      </c>
      <c r="I62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3</v>
      </c>
      <c r="F63" s="12" t="s">
        <v>145</v>
      </c>
      <c r="G63" s="12">
        <v>0</v>
      </c>
      <c r="H63" t="s">
        <v>72</v>
      </c>
      <c r="I63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2</v>
      </c>
      <c r="F64" s="12" t="s">
        <v>145</v>
      </c>
      <c r="G64" s="12">
        <v>2</v>
      </c>
      <c r="H64" t="s">
        <v>62</v>
      </c>
      <c r="I64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3</v>
      </c>
      <c r="H65" t="s">
        <v>54</v>
      </c>
      <c r="I65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0</v>
      </c>
      <c r="F66" s="12" t="s">
        <v>145</v>
      </c>
      <c r="G66" s="12">
        <v>0</v>
      </c>
      <c r="H66" t="s">
        <v>65</v>
      </c>
      <c r="I66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1</v>
      </c>
      <c r="F67" s="12" t="s">
        <v>145</v>
      </c>
      <c r="G67" s="12">
        <v>2</v>
      </c>
      <c r="H67" t="s">
        <v>59</v>
      </c>
      <c r="I67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2</v>
      </c>
      <c r="H68" t="s">
        <v>88</v>
      </c>
      <c r="I68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2</v>
      </c>
      <c r="F70" s="12" t="s">
        <v>145</v>
      </c>
      <c r="G70" s="12">
        <v>2</v>
      </c>
      <c r="H70" t="s">
        <v>82</v>
      </c>
      <c r="I70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1</v>
      </c>
      <c r="H71" t="s">
        <v>91</v>
      </c>
      <c r="I71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0</v>
      </c>
      <c r="F72" s="12" t="s">
        <v>145</v>
      </c>
      <c r="G72" s="12">
        <v>0</v>
      </c>
      <c r="H72" t="s">
        <v>78</v>
      </c>
      <c r="I72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2</v>
      </c>
      <c r="H73" t="s">
        <v>75</v>
      </c>
      <c r="I73" s="12">
        <f>IF(OR(Tabela_33412[[#This Row],[Placar Mandante]]="",Tabela_33412[[#This Row],[Placar Visitante]]="",Tabela_3[[#This Row],[Placar Mandante]]="",Tabela_3[[#This Row],[Placar Visitante]]=""),0,
IF(AND(Tabela_33412[[#This Row],[Placar Mandante]]=Tabela_3[[#This Row],[Placar Mandante]],Tabela_33412[[#This Row],[Placar Visitante]]=Tabela_3[[#This Row],[Placar Visitante]]),3,
IF(SIGN(Tabela_33412[[#This Row],[Placar Mandante]]-Tabela_33412[[#This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4A81-3F7D-4C4B-A988-465A4427D30A}">
  <dimension ref="A1:K73"/>
  <sheetViews>
    <sheetView topLeftCell="B1" zoomScaleNormal="100" workbookViewId="0">
      <selection activeCell="H75" sqref="H75"/>
    </sheetView>
  </sheetViews>
  <sheetFormatPr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0.8867187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3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1</v>
      </c>
      <c r="H2" t="s">
        <v>7</v>
      </c>
      <c r="I2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  <c r="J2" s="13"/>
      <c r="K2" s="3">
        <f>SUM(I2:I73)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2</v>
      </c>
      <c r="H3" t="s">
        <v>12</v>
      </c>
      <c r="I3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2</v>
      </c>
      <c r="H4" t="s">
        <v>16</v>
      </c>
      <c r="I4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0</v>
      </c>
      <c r="F5" s="12" t="s">
        <v>145</v>
      </c>
      <c r="G5" s="12">
        <v>1</v>
      </c>
      <c r="H5" t="s">
        <v>20</v>
      </c>
      <c r="I5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3</v>
      </c>
      <c r="H6" t="s">
        <v>24</v>
      </c>
      <c r="I6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1</v>
      </c>
      <c r="H7" t="s">
        <v>28</v>
      </c>
      <c r="I7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1</v>
      </c>
      <c r="H8" t="s">
        <v>32</v>
      </c>
      <c r="I8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0</v>
      </c>
      <c r="F9" s="12" t="s">
        <v>145</v>
      </c>
      <c r="G9" s="12">
        <v>0</v>
      </c>
      <c r="H9" t="s">
        <v>35</v>
      </c>
      <c r="I9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5</v>
      </c>
      <c r="F10" s="12" t="s">
        <v>145</v>
      </c>
      <c r="G10" s="12">
        <v>0</v>
      </c>
      <c r="H10" t="s">
        <v>40</v>
      </c>
      <c r="I10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3</v>
      </c>
      <c r="F11" s="12" t="s">
        <v>145</v>
      </c>
      <c r="G11" s="12">
        <v>0</v>
      </c>
      <c r="H11" t="s">
        <v>44</v>
      </c>
      <c r="I11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2</v>
      </c>
      <c r="F12" s="12" t="s">
        <v>145</v>
      </c>
      <c r="G12" s="12">
        <v>1</v>
      </c>
      <c r="H12" t="s">
        <v>48</v>
      </c>
      <c r="I12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1</v>
      </c>
      <c r="H13" t="s">
        <v>52</v>
      </c>
      <c r="I13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5</v>
      </c>
      <c r="F14" s="12" t="s">
        <v>145</v>
      </c>
      <c r="G14" s="12">
        <v>0</v>
      </c>
      <c r="H14" t="s">
        <v>55</v>
      </c>
      <c r="I14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2</v>
      </c>
      <c r="H15" t="s">
        <v>60</v>
      </c>
      <c r="I15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1</v>
      </c>
      <c r="F16" s="12" t="s">
        <v>145</v>
      </c>
      <c r="G16" s="12">
        <v>0</v>
      </c>
      <c r="H16" t="s">
        <v>63</v>
      </c>
      <c r="I16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0</v>
      </c>
      <c r="F17" s="12" t="s">
        <v>145</v>
      </c>
      <c r="G17" s="12">
        <v>0</v>
      </c>
      <c r="H17" t="s">
        <v>66</v>
      </c>
      <c r="I17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3</v>
      </c>
      <c r="F18" s="12" t="s">
        <v>145</v>
      </c>
      <c r="G18" s="12">
        <v>1</v>
      </c>
      <c r="H18" t="s">
        <v>69</v>
      </c>
      <c r="I18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1</v>
      </c>
      <c r="F19" s="12" t="s">
        <v>145</v>
      </c>
      <c r="G19" s="12">
        <v>4</v>
      </c>
      <c r="H19" t="s">
        <v>73</v>
      </c>
      <c r="I19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2</v>
      </c>
      <c r="F20" s="12" t="s">
        <v>145</v>
      </c>
      <c r="G20" s="12">
        <v>0</v>
      </c>
      <c r="H20" t="s">
        <v>76</v>
      </c>
      <c r="I20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1</v>
      </c>
      <c r="F21" s="12" t="s">
        <v>145</v>
      </c>
      <c r="G21" s="12">
        <v>0</v>
      </c>
      <c r="H21" t="s">
        <v>79</v>
      </c>
      <c r="I21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0</v>
      </c>
      <c r="H22" t="s">
        <v>83</v>
      </c>
      <c r="I22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1</v>
      </c>
      <c r="F23" s="12" t="s">
        <v>145</v>
      </c>
      <c r="G23" s="12">
        <v>1</v>
      </c>
      <c r="H23" t="s">
        <v>86</v>
      </c>
      <c r="I23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3</v>
      </c>
      <c r="F24" s="12" t="s">
        <v>145</v>
      </c>
      <c r="G24" s="12">
        <v>0</v>
      </c>
      <c r="H24" t="s">
        <v>89</v>
      </c>
      <c r="I24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1</v>
      </c>
      <c r="F26" s="12" t="s">
        <v>145</v>
      </c>
      <c r="G26" s="12">
        <v>2</v>
      </c>
      <c r="H26" t="s">
        <v>7</v>
      </c>
      <c r="I26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0</v>
      </c>
      <c r="H27" t="s">
        <v>16</v>
      </c>
      <c r="I27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1</v>
      </c>
      <c r="F28" s="12" t="s">
        <v>145</v>
      </c>
      <c r="G28" s="12">
        <v>0</v>
      </c>
      <c r="H28" t="s">
        <v>23</v>
      </c>
      <c r="I28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1</v>
      </c>
      <c r="F29" s="12" t="s">
        <v>145</v>
      </c>
      <c r="G29" s="12">
        <v>1</v>
      </c>
      <c r="H29" t="s">
        <v>11</v>
      </c>
      <c r="I29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1</v>
      </c>
      <c r="F30" s="12" t="s">
        <v>145</v>
      </c>
      <c r="G30" s="12">
        <v>1</v>
      </c>
      <c r="H30" t="s">
        <v>34</v>
      </c>
      <c r="I30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2</v>
      </c>
      <c r="F31" s="12" t="s">
        <v>145</v>
      </c>
      <c r="G31" s="12">
        <v>2</v>
      </c>
      <c r="H31" t="s">
        <v>28</v>
      </c>
      <c r="I31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3</v>
      </c>
      <c r="F32" s="12" t="s">
        <v>145</v>
      </c>
      <c r="G32" s="12">
        <v>0</v>
      </c>
      <c r="H32" t="s">
        <v>31</v>
      </c>
      <c r="I32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0</v>
      </c>
      <c r="F33" s="12" t="s">
        <v>145</v>
      </c>
      <c r="G33" s="12">
        <v>1</v>
      </c>
      <c r="H33" t="s">
        <v>20</v>
      </c>
      <c r="I33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1</v>
      </c>
      <c r="H34" t="s">
        <v>51</v>
      </c>
      <c r="I34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3</v>
      </c>
      <c r="F35" s="12" t="s">
        <v>145</v>
      </c>
      <c r="G35" s="12">
        <v>2</v>
      </c>
      <c r="H35" t="s">
        <v>47</v>
      </c>
      <c r="I35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0</v>
      </c>
      <c r="H36" t="s">
        <v>40</v>
      </c>
      <c r="I36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0</v>
      </c>
      <c r="F37" s="12" t="s">
        <v>145</v>
      </c>
      <c r="G37" s="12">
        <v>1</v>
      </c>
      <c r="H37" t="s">
        <v>44</v>
      </c>
      <c r="I37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1</v>
      </c>
      <c r="H38" t="s">
        <v>62</v>
      </c>
      <c r="I38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3</v>
      </c>
      <c r="F39" s="12" t="s">
        <v>145</v>
      </c>
      <c r="G39" s="12">
        <v>0</v>
      </c>
      <c r="H39" t="s">
        <v>65</v>
      </c>
      <c r="I39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2</v>
      </c>
      <c r="F40" s="12" t="s">
        <v>145</v>
      </c>
      <c r="G40" s="12">
        <v>0</v>
      </c>
      <c r="H40" t="s">
        <v>55</v>
      </c>
      <c r="I40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1</v>
      </c>
      <c r="H41" t="s">
        <v>60</v>
      </c>
      <c r="I41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0</v>
      </c>
      <c r="H42" t="s">
        <v>78</v>
      </c>
      <c r="I42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4</v>
      </c>
      <c r="F43" s="12" t="s">
        <v>145</v>
      </c>
      <c r="G43" s="12">
        <v>0</v>
      </c>
      <c r="H43" t="s">
        <v>72</v>
      </c>
      <c r="I43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2</v>
      </c>
      <c r="F44" s="12" t="s">
        <v>145</v>
      </c>
      <c r="G44" s="12">
        <v>1</v>
      </c>
      <c r="H44" t="s">
        <v>69</v>
      </c>
      <c r="I44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0</v>
      </c>
      <c r="H45" t="s">
        <v>76</v>
      </c>
      <c r="I45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4</v>
      </c>
      <c r="F46" s="12" t="s">
        <v>145</v>
      </c>
      <c r="G46" s="12">
        <v>0</v>
      </c>
      <c r="H46" t="s">
        <v>91</v>
      </c>
      <c r="I46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1</v>
      </c>
      <c r="H47" t="s">
        <v>88</v>
      </c>
      <c r="I47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1</v>
      </c>
      <c r="F48" s="12" t="s">
        <v>145</v>
      </c>
      <c r="G48" s="12">
        <v>2</v>
      </c>
      <c r="H48" t="s">
        <v>86</v>
      </c>
      <c r="I48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3</v>
      </c>
      <c r="F49" s="12" t="s">
        <v>145</v>
      </c>
      <c r="G49" s="12">
        <v>0</v>
      </c>
      <c r="H49" t="s">
        <v>83</v>
      </c>
      <c r="I49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1</v>
      </c>
      <c r="H50" t="s">
        <v>23</v>
      </c>
      <c r="I50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1</v>
      </c>
      <c r="H51" t="s">
        <v>15</v>
      </c>
      <c r="I51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1</v>
      </c>
      <c r="F52" s="12" t="s">
        <v>145</v>
      </c>
      <c r="G52" s="12">
        <v>3</v>
      </c>
      <c r="H52" t="s">
        <v>27</v>
      </c>
      <c r="I52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2</v>
      </c>
      <c r="F53" s="12" t="s">
        <v>145</v>
      </c>
      <c r="G53" s="12">
        <v>0</v>
      </c>
      <c r="H53" t="s">
        <v>31</v>
      </c>
      <c r="I53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0</v>
      </c>
      <c r="H54" t="s">
        <v>11</v>
      </c>
      <c r="I54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0</v>
      </c>
      <c r="F55" s="12" t="s">
        <v>145</v>
      </c>
      <c r="G55" s="12">
        <v>1</v>
      </c>
      <c r="H55" t="s">
        <v>6</v>
      </c>
      <c r="I55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3</v>
      </c>
      <c r="H56" t="s">
        <v>47</v>
      </c>
      <c r="I56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0</v>
      </c>
      <c r="F57" s="12" t="s">
        <v>145</v>
      </c>
      <c r="G57" s="12">
        <v>3</v>
      </c>
      <c r="H57" t="s">
        <v>39</v>
      </c>
      <c r="I57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0</v>
      </c>
      <c r="F58" s="12" t="s">
        <v>145</v>
      </c>
      <c r="G58" s="12">
        <v>1</v>
      </c>
      <c r="H58" t="s">
        <v>51</v>
      </c>
      <c r="I58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2</v>
      </c>
      <c r="H59" t="s">
        <v>43</v>
      </c>
      <c r="I59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1</v>
      </c>
      <c r="H60" t="s">
        <v>34</v>
      </c>
      <c r="I60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1</v>
      </c>
      <c r="H61" t="s">
        <v>19</v>
      </c>
      <c r="I61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2</v>
      </c>
      <c r="H62" t="s">
        <v>68</v>
      </c>
      <c r="I62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0</v>
      </c>
      <c r="H63" t="s">
        <v>72</v>
      </c>
      <c r="I63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0</v>
      </c>
      <c r="F64" s="12" t="s">
        <v>145</v>
      </c>
      <c r="G64" s="12">
        <v>2</v>
      </c>
      <c r="H64" t="s">
        <v>62</v>
      </c>
      <c r="I64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3</v>
      </c>
      <c r="H65" t="s">
        <v>54</v>
      </c>
      <c r="I65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2</v>
      </c>
      <c r="F66" s="12" t="s">
        <v>145</v>
      </c>
      <c r="G66" s="12">
        <v>0</v>
      </c>
      <c r="H66" t="s">
        <v>65</v>
      </c>
      <c r="I66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2</v>
      </c>
      <c r="H67" t="s">
        <v>59</v>
      </c>
      <c r="I67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1</v>
      </c>
      <c r="F68" s="12" t="s">
        <v>145</v>
      </c>
      <c r="G68" s="12">
        <v>1</v>
      </c>
      <c r="H68" t="s">
        <v>88</v>
      </c>
      <c r="I68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0</v>
      </c>
      <c r="F70" s="12" t="s">
        <v>145</v>
      </c>
      <c r="G70" s="12">
        <v>2</v>
      </c>
      <c r="H70" t="s">
        <v>82</v>
      </c>
      <c r="I70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0</v>
      </c>
      <c r="F71" s="12" t="s">
        <v>145</v>
      </c>
      <c r="G71" s="12">
        <v>0</v>
      </c>
      <c r="H71" t="s">
        <v>91</v>
      </c>
      <c r="I71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0</v>
      </c>
      <c r="F72" s="12" t="s">
        <v>145</v>
      </c>
      <c r="G72" s="12">
        <v>0</v>
      </c>
      <c r="H72" t="s">
        <v>78</v>
      </c>
      <c r="I72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2</v>
      </c>
      <c r="H73" t="s">
        <v>75</v>
      </c>
      <c r="I73" s="12">
        <f>IF(OR(Tabela_33413[[#This Row],[Placar Mandante]]="",Tabela_33413[[#This Row],[Placar Visitante]]="",Tabela_3[[#This Row],[Placar Mandante]]="",Tabela_3[[#This Row],[Placar Visitante]]=""),0,
IF(AND(Tabela_33413[[#This Row],[Placar Mandante]]=Tabela_3[[#This Row],[Placar Mandante]],Tabela_33413[[#This Row],[Placar Visitante]]=Tabela_3[[#This Row],[Placar Visitante]]),3,
IF(SIGN(Tabela_33413[[#This Row],[Placar Mandante]]-Tabela_33413[[#This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F84A-6EB9-4300-80B0-BB0DE620AFE3}">
  <sheetPr codeName="Planilha9"/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1</v>
      </c>
      <c r="F2" s="2" t="s">
        <v>145</v>
      </c>
      <c r="G2" s="12">
        <v>2</v>
      </c>
      <c r="H2" t="s">
        <v>7</v>
      </c>
      <c r="I2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  <c r="K2" s="3">
        <f>SUM(Tabela_3337[Pontuação])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0</v>
      </c>
      <c r="F3" s="2" t="s">
        <v>145</v>
      </c>
      <c r="G3" s="12">
        <v>2</v>
      </c>
      <c r="H3" t="s">
        <v>12</v>
      </c>
      <c r="I3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2</v>
      </c>
      <c r="F4" s="2" t="s">
        <v>145</v>
      </c>
      <c r="G4" s="12">
        <v>1</v>
      </c>
      <c r="H4" t="s">
        <v>16</v>
      </c>
      <c r="I4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1</v>
      </c>
      <c r="F5" s="2" t="s">
        <v>145</v>
      </c>
      <c r="G5" s="12">
        <v>3</v>
      </c>
      <c r="H5" t="s">
        <v>20</v>
      </c>
      <c r="I5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1</v>
      </c>
      <c r="H6" t="s">
        <v>24</v>
      </c>
      <c r="I6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2</v>
      </c>
      <c r="F7" s="2" t="s">
        <v>145</v>
      </c>
      <c r="G7" s="12">
        <v>1</v>
      </c>
      <c r="H7" t="s">
        <v>28</v>
      </c>
      <c r="I7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0</v>
      </c>
      <c r="F8" s="2" t="s">
        <v>145</v>
      </c>
      <c r="G8" s="12">
        <v>3</v>
      </c>
      <c r="H8" t="s">
        <v>32</v>
      </c>
      <c r="I8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1</v>
      </c>
      <c r="F9" s="2" t="s">
        <v>145</v>
      </c>
      <c r="G9" s="12">
        <v>3</v>
      </c>
      <c r="H9" t="s">
        <v>35</v>
      </c>
      <c r="I9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4</v>
      </c>
      <c r="F10" s="2" t="s">
        <v>145</v>
      </c>
      <c r="G10" s="12">
        <v>0</v>
      </c>
      <c r="H10" t="s">
        <v>40</v>
      </c>
      <c r="I10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1</v>
      </c>
      <c r="F11" s="2" t="s">
        <v>145</v>
      </c>
      <c r="G11" s="12">
        <v>3</v>
      </c>
      <c r="H11" t="s">
        <v>44</v>
      </c>
      <c r="I11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2</v>
      </c>
      <c r="F12" s="2" t="s">
        <v>145</v>
      </c>
      <c r="G12" s="12">
        <v>1</v>
      </c>
      <c r="H12" t="s">
        <v>48</v>
      </c>
      <c r="I12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3</v>
      </c>
      <c r="F13" s="2" t="s">
        <v>145</v>
      </c>
      <c r="G13" s="12">
        <v>0</v>
      </c>
      <c r="H13" t="s">
        <v>52</v>
      </c>
      <c r="I13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4</v>
      </c>
      <c r="F14" s="2" t="s">
        <v>145</v>
      </c>
      <c r="G14" s="12">
        <v>0</v>
      </c>
      <c r="H14" t="s">
        <v>55</v>
      </c>
      <c r="I14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3</v>
      </c>
      <c r="F15" s="2" t="s">
        <v>145</v>
      </c>
      <c r="G15" s="12">
        <v>1</v>
      </c>
      <c r="H15" t="s">
        <v>60</v>
      </c>
      <c r="I15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1</v>
      </c>
      <c r="F16" s="2" t="s">
        <v>145</v>
      </c>
      <c r="G16" s="12">
        <v>3</v>
      </c>
      <c r="H16" t="s">
        <v>63</v>
      </c>
      <c r="I16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1</v>
      </c>
      <c r="F17" s="2" t="s">
        <v>145</v>
      </c>
      <c r="G17" s="12">
        <v>1</v>
      </c>
      <c r="H17" t="s">
        <v>66</v>
      </c>
      <c r="I17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2</v>
      </c>
      <c r="F18" s="2" t="s">
        <v>145</v>
      </c>
      <c r="G18" s="12">
        <v>2</v>
      </c>
      <c r="H18" t="s">
        <v>69</v>
      </c>
      <c r="I18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0</v>
      </c>
      <c r="F19" s="2" t="s">
        <v>145</v>
      </c>
      <c r="G19" s="12">
        <v>3</v>
      </c>
      <c r="H19" t="s">
        <v>73</v>
      </c>
      <c r="I19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2</v>
      </c>
      <c r="F20" s="2" t="s">
        <v>145</v>
      </c>
      <c r="G20" s="12">
        <v>2</v>
      </c>
      <c r="H20" t="s">
        <v>76</v>
      </c>
      <c r="I20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0</v>
      </c>
      <c r="F21" s="2" t="s">
        <v>145</v>
      </c>
      <c r="G21" s="12">
        <v>0</v>
      </c>
      <c r="H21" t="s">
        <v>79</v>
      </c>
      <c r="I21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4</v>
      </c>
      <c r="F22" s="2" t="s">
        <v>145</v>
      </c>
      <c r="G22" s="12">
        <v>1</v>
      </c>
      <c r="H22" t="s">
        <v>83</v>
      </c>
      <c r="I22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3</v>
      </c>
      <c r="F23" s="2" t="s">
        <v>145</v>
      </c>
      <c r="G23" s="12">
        <v>2</v>
      </c>
      <c r="H23" t="s">
        <v>86</v>
      </c>
      <c r="I23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3</v>
      </c>
      <c r="F24" s="2" t="s">
        <v>145</v>
      </c>
      <c r="G24" s="12">
        <v>2</v>
      </c>
      <c r="H24" t="s">
        <v>89</v>
      </c>
      <c r="I24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3</v>
      </c>
      <c r="H25" t="s">
        <v>92</v>
      </c>
      <c r="I25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1</v>
      </c>
      <c r="F26" s="2" t="s">
        <v>145</v>
      </c>
      <c r="G26" s="12">
        <v>2</v>
      </c>
      <c r="H26" t="s">
        <v>7</v>
      </c>
      <c r="I26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1</v>
      </c>
      <c r="F27" s="2" t="s">
        <v>145</v>
      </c>
      <c r="G27" s="12">
        <v>0</v>
      </c>
      <c r="H27" t="s">
        <v>16</v>
      </c>
      <c r="I27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3</v>
      </c>
      <c r="F28" s="2" t="s">
        <v>145</v>
      </c>
      <c r="G28" s="12">
        <v>1</v>
      </c>
      <c r="H28" t="s">
        <v>23</v>
      </c>
      <c r="I28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1</v>
      </c>
      <c r="F29" s="2" t="s">
        <v>145</v>
      </c>
      <c r="G29" s="12">
        <v>2</v>
      </c>
      <c r="H29" t="s">
        <v>11</v>
      </c>
      <c r="I29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1</v>
      </c>
      <c r="F30" s="2" t="s">
        <v>145</v>
      </c>
      <c r="G30" s="12">
        <v>1</v>
      </c>
      <c r="H30" t="s">
        <v>34</v>
      </c>
      <c r="I30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1</v>
      </c>
      <c r="F31" s="2" t="s">
        <v>145</v>
      </c>
      <c r="G31" s="12">
        <v>2</v>
      </c>
      <c r="H31" t="s">
        <v>28</v>
      </c>
      <c r="I31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4</v>
      </c>
      <c r="F32" s="2" t="s">
        <v>145</v>
      </c>
      <c r="G32" s="12">
        <v>0</v>
      </c>
      <c r="H32" t="s">
        <v>31</v>
      </c>
      <c r="I32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1</v>
      </c>
      <c r="F33" s="2" t="s">
        <v>145</v>
      </c>
      <c r="G33" s="12">
        <v>3</v>
      </c>
      <c r="H33" t="s">
        <v>20</v>
      </c>
      <c r="I33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1</v>
      </c>
      <c r="F34" s="2" t="s">
        <v>145</v>
      </c>
      <c r="G34" s="12">
        <v>3</v>
      </c>
      <c r="H34" t="s">
        <v>51</v>
      </c>
      <c r="I34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1</v>
      </c>
      <c r="F35" s="2" t="s">
        <v>145</v>
      </c>
      <c r="G35" s="12">
        <v>2</v>
      </c>
      <c r="H35" t="s">
        <v>47</v>
      </c>
      <c r="I35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2</v>
      </c>
      <c r="F36" s="2" t="s">
        <v>145</v>
      </c>
      <c r="G36" s="12">
        <v>0</v>
      </c>
      <c r="H36" t="s">
        <v>40</v>
      </c>
      <c r="I36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1</v>
      </c>
      <c r="F37" s="2" t="s">
        <v>145</v>
      </c>
      <c r="G37" s="12">
        <v>3</v>
      </c>
      <c r="H37" t="s">
        <v>44</v>
      </c>
      <c r="I37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4</v>
      </c>
      <c r="F38" s="2" t="s">
        <v>145</v>
      </c>
      <c r="G38" s="12">
        <v>0</v>
      </c>
      <c r="H38" t="s">
        <v>62</v>
      </c>
      <c r="I38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3</v>
      </c>
      <c r="F39" s="2" t="s">
        <v>145</v>
      </c>
      <c r="G39" s="12">
        <v>1</v>
      </c>
      <c r="H39" t="s">
        <v>65</v>
      </c>
      <c r="I39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3</v>
      </c>
      <c r="F40" s="2" t="s">
        <v>145</v>
      </c>
      <c r="G40" s="12">
        <v>0</v>
      </c>
      <c r="H40" t="s">
        <v>55</v>
      </c>
      <c r="I40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1</v>
      </c>
      <c r="F41" s="2" t="s">
        <v>145</v>
      </c>
      <c r="G41" s="12">
        <v>3</v>
      </c>
      <c r="H41" t="s">
        <v>60</v>
      </c>
      <c r="I41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3</v>
      </c>
      <c r="F42" s="2" t="s">
        <v>145</v>
      </c>
      <c r="G42" s="12">
        <v>1</v>
      </c>
      <c r="H42" t="s">
        <v>78</v>
      </c>
      <c r="I42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4</v>
      </c>
      <c r="F43" s="2" t="s">
        <v>145</v>
      </c>
      <c r="G43" s="12">
        <v>1</v>
      </c>
      <c r="H43" t="s">
        <v>72</v>
      </c>
      <c r="I43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2</v>
      </c>
      <c r="F44" s="2" t="s">
        <v>145</v>
      </c>
      <c r="G44" s="12">
        <v>3</v>
      </c>
      <c r="H44" t="s">
        <v>69</v>
      </c>
      <c r="I44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1</v>
      </c>
      <c r="F45" s="2" t="s">
        <v>145</v>
      </c>
      <c r="G45" s="12">
        <v>2</v>
      </c>
      <c r="H45" t="s">
        <v>76</v>
      </c>
      <c r="I45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3</v>
      </c>
      <c r="F46" s="2" t="s">
        <v>145</v>
      </c>
      <c r="G46" s="12">
        <v>0</v>
      </c>
      <c r="H46" t="s">
        <v>91</v>
      </c>
      <c r="I46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2</v>
      </c>
      <c r="F47" s="2" t="s">
        <v>145</v>
      </c>
      <c r="G47" s="12">
        <v>1</v>
      </c>
      <c r="H47" t="s">
        <v>88</v>
      </c>
      <c r="I47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1</v>
      </c>
      <c r="F48" s="2" t="s">
        <v>145</v>
      </c>
      <c r="G48" s="12">
        <v>3</v>
      </c>
      <c r="H48" t="s">
        <v>86</v>
      </c>
      <c r="I48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2</v>
      </c>
      <c r="F49" s="2" t="s">
        <v>145</v>
      </c>
      <c r="G49" s="12">
        <v>2</v>
      </c>
      <c r="H49" t="s">
        <v>83</v>
      </c>
      <c r="I49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0</v>
      </c>
      <c r="F50" s="2" t="s">
        <v>145</v>
      </c>
      <c r="G50" s="12">
        <v>0</v>
      </c>
      <c r="H50" t="s">
        <v>23</v>
      </c>
      <c r="I50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2</v>
      </c>
      <c r="F51" s="2" t="s">
        <v>145</v>
      </c>
      <c r="G51" s="12">
        <v>2</v>
      </c>
      <c r="H51" t="s">
        <v>15</v>
      </c>
      <c r="I51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1</v>
      </c>
      <c r="F52" s="2" t="s">
        <v>145</v>
      </c>
      <c r="G52" s="12">
        <v>3</v>
      </c>
      <c r="H52" t="s">
        <v>27</v>
      </c>
      <c r="I52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2</v>
      </c>
      <c r="F53" s="2" t="s">
        <v>145</v>
      </c>
      <c r="G53" s="12">
        <v>1</v>
      </c>
      <c r="H53" t="s">
        <v>31</v>
      </c>
      <c r="I53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2</v>
      </c>
      <c r="F54" s="2" t="s">
        <v>145</v>
      </c>
      <c r="G54" s="12">
        <v>1</v>
      </c>
      <c r="H54" t="s">
        <v>11</v>
      </c>
      <c r="I54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4</v>
      </c>
      <c r="F55" s="2" t="s">
        <v>145</v>
      </c>
      <c r="G55" s="12">
        <v>2</v>
      </c>
      <c r="H55" t="s">
        <v>6</v>
      </c>
      <c r="I55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0</v>
      </c>
      <c r="F56" s="2" t="s">
        <v>145</v>
      </c>
      <c r="G56" s="12">
        <v>3</v>
      </c>
      <c r="H56" t="s">
        <v>47</v>
      </c>
      <c r="I56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1</v>
      </c>
      <c r="F57" s="2" t="s">
        <v>145</v>
      </c>
      <c r="G57" s="12">
        <v>2</v>
      </c>
      <c r="H57" t="s">
        <v>39</v>
      </c>
      <c r="I57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2</v>
      </c>
      <c r="F58" s="2" t="s">
        <v>145</v>
      </c>
      <c r="G58" s="12">
        <v>3</v>
      </c>
      <c r="H58" t="s">
        <v>51</v>
      </c>
      <c r="I58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0</v>
      </c>
      <c r="F59" s="2" t="s">
        <v>145</v>
      </c>
      <c r="G59" s="12">
        <v>1</v>
      </c>
      <c r="H59" t="s">
        <v>43</v>
      </c>
      <c r="I59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2</v>
      </c>
      <c r="F60" s="2" t="s">
        <v>145</v>
      </c>
      <c r="G60" s="12">
        <v>1</v>
      </c>
      <c r="H60" t="s">
        <v>34</v>
      </c>
      <c r="I60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3</v>
      </c>
      <c r="F61" s="2" t="s">
        <v>145</v>
      </c>
      <c r="G61" s="12">
        <v>1</v>
      </c>
      <c r="H61" t="s">
        <v>19</v>
      </c>
      <c r="I61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1</v>
      </c>
      <c r="F62" s="2" t="s">
        <v>145</v>
      </c>
      <c r="G62" s="12">
        <v>3</v>
      </c>
      <c r="H62" t="s">
        <v>68</v>
      </c>
      <c r="I62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3</v>
      </c>
      <c r="F63" s="2" t="s">
        <v>145</v>
      </c>
      <c r="G63" s="12">
        <v>1</v>
      </c>
      <c r="H63" t="s">
        <v>72</v>
      </c>
      <c r="I63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1</v>
      </c>
      <c r="F64" s="2" t="s">
        <v>145</v>
      </c>
      <c r="G64" s="12">
        <v>2</v>
      </c>
      <c r="H64" t="s">
        <v>62</v>
      </c>
      <c r="I64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2</v>
      </c>
      <c r="F65" s="2" t="s">
        <v>145</v>
      </c>
      <c r="G65" s="12">
        <v>3</v>
      </c>
      <c r="H65" t="s">
        <v>54</v>
      </c>
      <c r="I65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3</v>
      </c>
      <c r="F66" s="2" t="s">
        <v>145</v>
      </c>
      <c r="G66" s="12">
        <v>1</v>
      </c>
      <c r="H66" t="s">
        <v>65</v>
      </c>
      <c r="I66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1</v>
      </c>
      <c r="F67" s="2" t="s">
        <v>145</v>
      </c>
      <c r="G67" s="12">
        <v>4</v>
      </c>
      <c r="H67" t="s">
        <v>59</v>
      </c>
      <c r="I67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1</v>
      </c>
      <c r="F68" s="2" t="s">
        <v>145</v>
      </c>
      <c r="G68" s="12">
        <v>1</v>
      </c>
      <c r="H68" t="s">
        <v>88</v>
      </c>
      <c r="I68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0</v>
      </c>
      <c r="F69" s="2" t="s">
        <v>145</v>
      </c>
      <c r="G69" s="12">
        <v>3</v>
      </c>
      <c r="H69" t="s">
        <v>85</v>
      </c>
      <c r="I69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1</v>
      </c>
      <c r="F70" s="2" t="s">
        <v>145</v>
      </c>
      <c r="G70" s="12">
        <v>2</v>
      </c>
      <c r="H70" t="s">
        <v>82</v>
      </c>
      <c r="I70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2</v>
      </c>
      <c r="F71" s="2" t="s">
        <v>145</v>
      </c>
      <c r="G71" s="12">
        <v>1</v>
      </c>
      <c r="H71" t="s">
        <v>91</v>
      </c>
      <c r="I71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2</v>
      </c>
      <c r="F72" s="2" t="s">
        <v>145</v>
      </c>
      <c r="G72" s="12">
        <v>0</v>
      </c>
      <c r="H72" t="s">
        <v>78</v>
      </c>
      <c r="I72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1</v>
      </c>
      <c r="F73" s="2" t="s">
        <v>145</v>
      </c>
      <c r="G73" s="12">
        <v>3</v>
      </c>
      <c r="H73" t="s">
        <v>75</v>
      </c>
      <c r="I73" s="2">
        <f>IF(OR(Tabela_3337[[#This Row],[Placar Mandante]]="",Tabela_3337[[#This Row],[Placar Visitante]]="",Tabela_3[[#This Row],[Placar Mandante]]="",Tabela_3[[#This Row],[Placar Visitante]]=""),0,
IF(AND(Tabela_3337[[#This Row],[Placar Mandante]]=Tabela_3[[#This Row],[Placar Mandante]],Tabela_3337[[#This Row],[Placar Visitante]]=Tabela_3[[#This Row],[Placar Visitante]]),3,
IF(SIGN(Tabela_3337[[#This Row],[Placar Mandante]]-Tabela_3337[[#This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CB1E-BB3A-43E2-A7AD-4B46750F9EEF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6640625" style="11" hidden="1" customWidth="1"/>
    <col min="2" max="2" width="10.33203125" style="11" bestFit="1" customWidth="1"/>
    <col min="3" max="3" width="9.44140625" style="11" bestFit="1" customWidth="1"/>
    <col min="4" max="4" width="18.33203125" style="11" bestFit="1" customWidth="1"/>
    <col min="5" max="5" width="18.33203125" style="11" customWidth="1"/>
    <col min="6" max="6" width="4.109375" style="12" bestFit="1" customWidth="1"/>
    <col min="7" max="7" width="18.33203125" style="11" customWidth="1"/>
    <col min="8" max="8" width="18.33203125" style="11" bestFit="1" customWidth="1"/>
    <col min="9" max="9" width="8.88671875" style="11"/>
    <col min="10" max="10" width="13" style="11" customWidth="1"/>
    <col min="11" max="11" width="10.3320312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0</v>
      </c>
      <c r="H2" t="s">
        <v>7</v>
      </c>
      <c r="I2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  <c r="J2" s="13"/>
      <c r="K2" s="3">
        <f>SUM(Tabela_33414[Pontuação])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0</v>
      </c>
      <c r="H3" t="s">
        <v>12</v>
      </c>
      <c r="I3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2</v>
      </c>
      <c r="H4" t="s">
        <v>16</v>
      </c>
      <c r="I4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1</v>
      </c>
      <c r="H5" t="s">
        <v>20</v>
      </c>
      <c r="I5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3</v>
      </c>
      <c r="H6" t="s">
        <v>24</v>
      </c>
      <c r="I6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1</v>
      </c>
      <c r="F7" s="12" t="s">
        <v>145</v>
      </c>
      <c r="G7" s="12">
        <v>1</v>
      </c>
      <c r="H7" t="s">
        <v>28</v>
      </c>
      <c r="I7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1</v>
      </c>
      <c r="F8" s="12" t="s">
        <v>145</v>
      </c>
      <c r="G8" s="12">
        <v>3</v>
      </c>
      <c r="H8" t="s">
        <v>32</v>
      </c>
      <c r="I8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0</v>
      </c>
      <c r="F9" s="12" t="s">
        <v>145</v>
      </c>
      <c r="G9" s="12">
        <v>2</v>
      </c>
      <c r="H9" t="s">
        <v>35</v>
      </c>
      <c r="I9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4</v>
      </c>
      <c r="F10" s="12" t="s">
        <v>145</v>
      </c>
      <c r="G10" s="12">
        <v>0</v>
      </c>
      <c r="H10" t="s">
        <v>40</v>
      </c>
      <c r="I10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2</v>
      </c>
      <c r="H11" t="s">
        <v>44</v>
      </c>
      <c r="I11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2</v>
      </c>
      <c r="H12" t="s">
        <v>48</v>
      </c>
      <c r="I12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1</v>
      </c>
      <c r="H13" t="s">
        <v>52</v>
      </c>
      <c r="I13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5</v>
      </c>
      <c r="F14" s="12" t="s">
        <v>145</v>
      </c>
      <c r="G14" s="12">
        <v>1</v>
      </c>
      <c r="H14" t="s">
        <v>55</v>
      </c>
      <c r="I14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1</v>
      </c>
      <c r="H15" t="s">
        <v>60</v>
      </c>
      <c r="I15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2</v>
      </c>
      <c r="F17" s="12" t="s">
        <v>145</v>
      </c>
      <c r="G17" s="12">
        <v>0</v>
      </c>
      <c r="H17" t="s">
        <v>66</v>
      </c>
      <c r="I17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1</v>
      </c>
      <c r="H18" t="s">
        <v>69</v>
      </c>
      <c r="I18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2</v>
      </c>
      <c r="H19" t="s">
        <v>73</v>
      </c>
      <c r="I19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2</v>
      </c>
      <c r="F20" s="12" t="s">
        <v>145</v>
      </c>
      <c r="G20" s="12">
        <v>1</v>
      </c>
      <c r="H20" t="s">
        <v>76</v>
      </c>
      <c r="I20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1</v>
      </c>
      <c r="F21" s="12" t="s">
        <v>145</v>
      </c>
      <c r="G21" s="12">
        <v>0</v>
      </c>
      <c r="H21" t="s">
        <v>79</v>
      </c>
      <c r="I21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0</v>
      </c>
      <c r="H22" t="s">
        <v>83</v>
      </c>
      <c r="I22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1</v>
      </c>
      <c r="H23" t="s">
        <v>86</v>
      </c>
      <c r="I23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3</v>
      </c>
      <c r="F24" s="12" t="s">
        <v>145</v>
      </c>
      <c r="G24" s="12">
        <v>2</v>
      </c>
      <c r="H24" t="s">
        <v>89</v>
      </c>
      <c r="I24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1</v>
      </c>
      <c r="F26" s="12" t="s">
        <v>145</v>
      </c>
      <c r="G26" s="12">
        <v>1</v>
      </c>
      <c r="H26" t="s">
        <v>7</v>
      </c>
      <c r="I26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1</v>
      </c>
      <c r="F27" s="12" t="s">
        <v>145</v>
      </c>
      <c r="G27" s="12">
        <v>1</v>
      </c>
      <c r="H27" t="s">
        <v>16</v>
      </c>
      <c r="I27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1</v>
      </c>
      <c r="H28" t="s">
        <v>23</v>
      </c>
      <c r="I28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2</v>
      </c>
      <c r="H29" t="s">
        <v>11</v>
      </c>
      <c r="I29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0</v>
      </c>
      <c r="H30" t="s">
        <v>34</v>
      </c>
      <c r="I30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2</v>
      </c>
      <c r="H31" t="s">
        <v>28</v>
      </c>
      <c r="I31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3</v>
      </c>
      <c r="F32" s="12" t="s">
        <v>145</v>
      </c>
      <c r="G32" s="12">
        <v>1</v>
      </c>
      <c r="H32" t="s">
        <v>31</v>
      </c>
      <c r="I32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2</v>
      </c>
      <c r="H33" t="s">
        <v>20</v>
      </c>
      <c r="I33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0</v>
      </c>
      <c r="H34" t="s">
        <v>51</v>
      </c>
      <c r="I34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0</v>
      </c>
      <c r="H35" t="s">
        <v>47</v>
      </c>
      <c r="I35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1</v>
      </c>
      <c r="H36" t="s">
        <v>40</v>
      </c>
      <c r="I36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0</v>
      </c>
      <c r="F37" s="12" t="s">
        <v>145</v>
      </c>
      <c r="G37" s="12">
        <v>2</v>
      </c>
      <c r="H37" t="s">
        <v>44</v>
      </c>
      <c r="I37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1</v>
      </c>
      <c r="H38" t="s">
        <v>62</v>
      </c>
      <c r="I38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1</v>
      </c>
      <c r="H39" t="s">
        <v>65</v>
      </c>
      <c r="I39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2</v>
      </c>
      <c r="F40" s="12" t="s">
        <v>145</v>
      </c>
      <c r="G40" s="12">
        <v>1</v>
      </c>
      <c r="H40" t="s">
        <v>55</v>
      </c>
      <c r="I40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1</v>
      </c>
      <c r="F41" s="12" t="s">
        <v>145</v>
      </c>
      <c r="G41" s="12">
        <v>3</v>
      </c>
      <c r="H41" t="s">
        <v>60</v>
      </c>
      <c r="I41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1</v>
      </c>
      <c r="F42" s="12" t="s">
        <v>145</v>
      </c>
      <c r="G42" s="12">
        <v>1</v>
      </c>
      <c r="H42" t="s">
        <v>78</v>
      </c>
      <c r="I42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1</v>
      </c>
      <c r="H44" t="s">
        <v>69</v>
      </c>
      <c r="I44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3</v>
      </c>
      <c r="H45" t="s">
        <v>76</v>
      </c>
      <c r="I45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2</v>
      </c>
      <c r="F46" s="12" t="s">
        <v>145</v>
      </c>
      <c r="G46" s="12">
        <v>1</v>
      </c>
      <c r="H46" t="s">
        <v>91</v>
      </c>
      <c r="I46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1</v>
      </c>
      <c r="F47" s="12" t="s">
        <v>145</v>
      </c>
      <c r="G47" s="12">
        <v>0</v>
      </c>
      <c r="H47" t="s">
        <v>88</v>
      </c>
      <c r="I47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3</v>
      </c>
      <c r="H48" t="s">
        <v>86</v>
      </c>
      <c r="I48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0</v>
      </c>
      <c r="H49" t="s">
        <v>83</v>
      </c>
      <c r="I49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2</v>
      </c>
      <c r="F50" s="12" t="s">
        <v>145</v>
      </c>
      <c r="G50" s="12">
        <v>2</v>
      </c>
      <c r="H50" t="s">
        <v>23</v>
      </c>
      <c r="I50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0</v>
      </c>
      <c r="F51" s="12" t="s">
        <v>145</v>
      </c>
      <c r="G51" s="12">
        <v>0</v>
      </c>
      <c r="H51" t="s">
        <v>15</v>
      </c>
      <c r="I51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1</v>
      </c>
      <c r="F52" s="12" t="s">
        <v>145</v>
      </c>
      <c r="G52" s="12">
        <v>2</v>
      </c>
      <c r="H52" t="s">
        <v>27</v>
      </c>
      <c r="I52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4</v>
      </c>
      <c r="F53" s="12" t="s">
        <v>145</v>
      </c>
      <c r="G53" s="12">
        <v>1</v>
      </c>
      <c r="H53" t="s">
        <v>31</v>
      </c>
      <c r="I53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2</v>
      </c>
      <c r="H54" t="s">
        <v>11</v>
      </c>
      <c r="I54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1</v>
      </c>
      <c r="H55" t="s">
        <v>6</v>
      </c>
      <c r="I55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2</v>
      </c>
      <c r="F56" s="12" t="s">
        <v>145</v>
      </c>
      <c r="G56" s="12">
        <v>3</v>
      </c>
      <c r="H56" t="s">
        <v>47</v>
      </c>
      <c r="I56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2</v>
      </c>
      <c r="H57" t="s">
        <v>39</v>
      </c>
      <c r="I57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1</v>
      </c>
      <c r="H58" t="s">
        <v>51</v>
      </c>
      <c r="I58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3</v>
      </c>
      <c r="H59" t="s">
        <v>43</v>
      </c>
      <c r="I59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1</v>
      </c>
      <c r="H60" t="s">
        <v>34</v>
      </c>
      <c r="I60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2</v>
      </c>
      <c r="H61" t="s">
        <v>19</v>
      </c>
      <c r="I61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2</v>
      </c>
      <c r="F62" s="12" t="s">
        <v>145</v>
      </c>
      <c r="G62" s="12">
        <v>2</v>
      </c>
      <c r="H62" t="s">
        <v>68</v>
      </c>
      <c r="I62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1</v>
      </c>
      <c r="F63" s="12" t="s">
        <v>145</v>
      </c>
      <c r="G63" s="12">
        <v>0</v>
      </c>
      <c r="H63" t="s">
        <v>72</v>
      </c>
      <c r="I63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2</v>
      </c>
      <c r="F64" s="12" t="s">
        <v>145</v>
      </c>
      <c r="G64" s="12">
        <v>2</v>
      </c>
      <c r="H64" t="s">
        <v>62</v>
      </c>
      <c r="I64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0</v>
      </c>
      <c r="F65" s="12" t="s">
        <v>145</v>
      </c>
      <c r="G65" s="12">
        <v>2</v>
      </c>
      <c r="H65" t="s">
        <v>54</v>
      </c>
      <c r="I65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1</v>
      </c>
      <c r="H66" t="s">
        <v>65</v>
      </c>
      <c r="I66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2</v>
      </c>
      <c r="H67" t="s">
        <v>59</v>
      </c>
      <c r="I67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1</v>
      </c>
      <c r="F68" s="12" t="s">
        <v>145</v>
      </c>
      <c r="G68" s="12">
        <v>1</v>
      </c>
      <c r="H68" t="s">
        <v>88</v>
      </c>
      <c r="I68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0</v>
      </c>
      <c r="F70" s="12" t="s">
        <v>145</v>
      </c>
      <c r="G70" s="12">
        <v>1</v>
      </c>
      <c r="H70" t="s">
        <v>82</v>
      </c>
      <c r="I70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2</v>
      </c>
      <c r="F71" s="12" t="s">
        <v>145</v>
      </c>
      <c r="G71" s="12">
        <v>2</v>
      </c>
      <c r="H71" t="s">
        <v>91</v>
      </c>
      <c r="I71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2</v>
      </c>
      <c r="H72" t="s">
        <v>78</v>
      </c>
      <c r="I72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IF(OR(Tabela_33414[[#This Row],[Placar Mandante]]="",Tabela_33414[[#This Row],[Placar Visitante]]="",Tabela_3[[#This Row],[Placar Mandante]]="",Tabela_3[[#This Row],[Placar Visitante]]=""),0,
IF(AND(Tabela_33414[[#This Row],[Placar Mandante]]=Tabela_3[[#This Row],[Placar Mandante]],Tabela_33414[[#This Row],[Placar Visitante]]=Tabela_3[[#This Row],[Placar Visitante]]),3,
IF(SIGN(Tabela_33414[[#This Row],[Placar Mandante]]-Tabela_33414[[#This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4350-5097-4078-A080-CE1D13EC94F3}">
  <dimension ref="A1:K73"/>
  <sheetViews>
    <sheetView topLeftCell="B1" zoomScaleNormal="100" workbookViewId="0">
      <selection activeCell="H75" sqref="H75"/>
    </sheetView>
  </sheetViews>
  <sheetFormatPr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0.4414062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0</v>
      </c>
      <c r="H2" t="s">
        <v>7</v>
      </c>
      <c r="I2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  <c r="J2" s="13"/>
      <c r="K2" s="3">
        <f>SUM(Tabela_33415[Pontuação])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0</v>
      </c>
      <c r="H3" t="s">
        <v>12</v>
      </c>
      <c r="I3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2</v>
      </c>
      <c r="H4" t="s">
        <v>16</v>
      </c>
      <c r="I4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2</v>
      </c>
      <c r="H5" t="s">
        <v>20</v>
      </c>
      <c r="I5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1</v>
      </c>
      <c r="H6" t="s">
        <v>24</v>
      </c>
      <c r="I6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3</v>
      </c>
      <c r="F7" s="12" t="s">
        <v>145</v>
      </c>
      <c r="G7" s="12">
        <v>1</v>
      </c>
      <c r="H7" t="s">
        <v>28</v>
      </c>
      <c r="I7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2</v>
      </c>
      <c r="H8" t="s">
        <v>32</v>
      </c>
      <c r="I8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0</v>
      </c>
      <c r="F9" s="12" t="s">
        <v>145</v>
      </c>
      <c r="G9" s="12">
        <v>1</v>
      </c>
      <c r="H9" t="s">
        <v>35</v>
      </c>
      <c r="I9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4</v>
      </c>
      <c r="F10" s="12" t="s">
        <v>145</v>
      </c>
      <c r="G10" s="12">
        <v>0</v>
      </c>
      <c r="H10" t="s">
        <v>40</v>
      </c>
      <c r="I10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3</v>
      </c>
      <c r="F11" s="12" t="s">
        <v>145</v>
      </c>
      <c r="G11" s="12">
        <v>1</v>
      </c>
      <c r="H11" t="s">
        <v>44</v>
      </c>
      <c r="I11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0</v>
      </c>
      <c r="F12" s="12" t="s">
        <v>145</v>
      </c>
      <c r="G12" s="12">
        <v>2</v>
      </c>
      <c r="H12" t="s">
        <v>48</v>
      </c>
      <c r="I12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0</v>
      </c>
      <c r="H13" t="s">
        <v>52</v>
      </c>
      <c r="I13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0</v>
      </c>
      <c r="H14" t="s">
        <v>55</v>
      </c>
      <c r="I14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0</v>
      </c>
      <c r="H15" t="s">
        <v>60</v>
      </c>
      <c r="I15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1</v>
      </c>
      <c r="H16" t="s">
        <v>63</v>
      </c>
      <c r="I16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0</v>
      </c>
      <c r="F17" s="12" t="s">
        <v>145</v>
      </c>
      <c r="G17" s="12">
        <v>0</v>
      </c>
      <c r="H17" t="s">
        <v>66</v>
      </c>
      <c r="I17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4</v>
      </c>
      <c r="F18" s="12" t="s">
        <v>145</v>
      </c>
      <c r="G18" s="12">
        <v>1</v>
      </c>
      <c r="H18" t="s">
        <v>69</v>
      </c>
      <c r="I18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1</v>
      </c>
      <c r="H19" t="s">
        <v>73</v>
      </c>
      <c r="I19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2</v>
      </c>
      <c r="F20" s="12" t="s">
        <v>145</v>
      </c>
      <c r="G20" s="12">
        <v>1</v>
      </c>
      <c r="H20" t="s">
        <v>76</v>
      </c>
      <c r="I20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1</v>
      </c>
      <c r="F21" s="12" t="s">
        <v>145</v>
      </c>
      <c r="G21" s="12">
        <v>0</v>
      </c>
      <c r="H21" t="s">
        <v>79</v>
      </c>
      <c r="I21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2</v>
      </c>
      <c r="F22" s="12" t="s">
        <v>145</v>
      </c>
      <c r="G22" s="12">
        <v>0</v>
      </c>
      <c r="H22" t="s">
        <v>83</v>
      </c>
      <c r="I22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1</v>
      </c>
      <c r="F23" s="12" t="s">
        <v>145</v>
      </c>
      <c r="G23" s="12">
        <v>1</v>
      </c>
      <c r="H23" t="s">
        <v>86</v>
      </c>
      <c r="I23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0</v>
      </c>
      <c r="H24" t="s">
        <v>89</v>
      </c>
      <c r="I24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1</v>
      </c>
      <c r="F25" s="12" t="s">
        <v>145</v>
      </c>
      <c r="G25" s="12">
        <v>3</v>
      </c>
      <c r="H25" t="s">
        <v>92</v>
      </c>
      <c r="I25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0</v>
      </c>
      <c r="H26" t="s">
        <v>7</v>
      </c>
      <c r="I26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1</v>
      </c>
      <c r="F27" s="12" t="s">
        <v>145</v>
      </c>
      <c r="G27" s="12">
        <v>0</v>
      </c>
      <c r="H27" t="s">
        <v>16</v>
      </c>
      <c r="I27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0</v>
      </c>
      <c r="H28" t="s">
        <v>23</v>
      </c>
      <c r="I28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2</v>
      </c>
      <c r="H29" t="s">
        <v>11</v>
      </c>
      <c r="I29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1</v>
      </c>
      <c r="F30" s="12" t="s">
        <v>145</v>
      </c>
      <c r="G30" s="12">
        <v>0</v>
      </c>
      <c r="H30" t="s">
        <v>34</v>
      </c>
      <c r="I30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2</v>
      </c>
      <c r="H31" t="s">
        <v>28</v>
      </c>
      <c r="I31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5</v>
      </c>
      <c r="F32" s="12" t="s">
        <v>145</v>
      </c>
      <c r="G32" s="12">
        <v>0</v>
      </c>
      <c r="H32" t="s">
        <v>31</v>
      </c>
      <c r="I32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1</v>
      </c>
      <c r="H33" t="s">
        <v>20</v>
      </c>
      <c r="I33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0</v>
      </c>
      <c r="H34" t="s">
        <v>51</v>
      </c>
      <c r="I34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3</v>
      </c>
      <c r="F35" s="12" t="s">
        <v>145</v>
      </c>
      <c r="G35" s="12">
        <v>0</v>
      </c>
      <c r="H35" t="s">
        <v>47</v>
      </c>
      <c r="I35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2</v>
      </c>
      <c r="H37" t="s">
        <v>44</v>
      </c>
      <c r="I37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0</v>
      </c>
      <c r="H38" t="s">
        <v>62</v>
      </c>
      <c r="I38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0</v>
      </c>
      <c r="H39" t="s">
        <v>65</v>
      </c>
      <c r="I39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0</v>
      </c>
      <c r="H40" t="s">
        <v>55</v>
      </c>
      <c r="I40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1</v>
      </c>
      <c r="F41" s="12" t="s">
        <v>145</v>
      </c>
      <c r="G41" s="12">
        <v>2</v>
      </c>
      <c r="H41" t="s">
        <v>60</v>
      </c>
      <c r="I41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3</v>
      </c>
      <c r="F42" s="12" t="s">
        <v>145</v>
      </c>
      <c r="G42" s="12">
        <v>0</v>
      </c>
      <c r="H42" t="s">
        <v>78</v>
      </c>
      <c r="I42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5</v>
      </c>
      <c r="F43" s="12" t="s">
        <v>145</v>
      </c>
      <c r="G43" s="12">
        <v>0</v>
      </c>
      <c r="H43" t="s">
        <v>72</v>
      </c>
      <c r="I43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2</v>
      </c>
      <c r="H44" t="s">
        <v>69</v>
      </c>
      <c r="I44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1</v>
      </c>
      <c r="H45" t="s">
        <v>76</v>
      </c>
      <c r="I45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2</v>
      </c>
      <c r="F46" s="12" t="s">
        <v>145</v>
      </c>
      <c r="G46" s="12">
        <v>0</v>
      </c>
      <c r="H46" t="s">
        <v>91</v>
      </c>
      <c r="I46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3</v>
      </c>
      <c r="F47" s="12" t="s">
        <v>145</v>
      </c>
      <c r="G47" s="12">
        <v>1</v>
      </c>
      <c r="H47" t="s">
        <v>88</v>
      </c>
      <c r="I47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1</v>
      </c>
      <c r="F48" s="12" t="s">
        <v>145</v>
      </c>
      <c r="G48" s="12">
        <v>3</v>
      </c>
      <c r="H48" t="s">
        <v>86</v>
      </c>
      <c r="I48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4</v>
      </c>
      <c r="F49" s="12" t="s">
        <v>145</v>
      </c>
      <c r="G49" s="12">
        <v>0</v>
      </c>
      <c r="H49" t="s">
        <v>83</v>
      </c>
      <c r="I49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0</v>
      </c>
      <c r="H50" t="s">
        <v>23</v>
      </c>
      <c r="I50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1</v>
      </c>
      <c r="H51" t="s">
        <v>15</v>
      </c>
      <c r="I51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2</v>
      </c>
      <c r="H52" t="s">
        <v>27</v>
      </c>
      <c r="I52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2</v>
      </c>
      <c r="F53" s="12" t="s">
        <v>145</v>
      </c>
      <c r="G53" s="12">
        <v>0</v>
      </c>
      <c r="H53" t="s">
        <v>31</v>
      </c>
      <c r="I53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1</v>
      </c>
      <c r="H54" t="s">
        <v>11</v>
      </c>
      <c r="I54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2</v>
      </c>
      <c r="F55" s="12" t="s">
        <v>145</v>
      </c>
      <c r="G55" s="12">
        <v>2</v>
      </c>
      <c r="H55" t="s">
        <v>6</v>
      </c>
      <c r="I55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1</v>
      </c>
      <c r="H56" t="s">
        <v>47</v>
      </c>
      <c r="I56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3</v>
      </c>
      <c r="H57" t="s">
        <v>39</v>
      </c>
      <c r="I57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1</v>
      </c>
      <c r="H58" t="s">
        <v>51</v>
      </c>
      <c r="I58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2</v>
      </c>
      <c r="H59" t="s">
        <v>43</v>
      </c>
      <c r="I59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3</v>
      </c>
      <c r="F60" s="12" t="s">
        <v>145</v>
      </c>
      <c r="G60" s="12">
        <v>1</v>
      </c>
      <c r="H60" t="s">
        <v>34</v>
      </c>
      <c r="I60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2</v>
      </c>
      <c r="H61" t="s">
        <v>19</v>
      </c>
      <c r="I61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2</v>
      </c>
      <c r="H62" t="s">
        <v>68</v>
      </c>
      <c r="I62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1</v>
      </c>
      <c r="F63" s="12" t="s">
        <v>145</v>
      </c>
      <c r="G63" s="12">
        <v>0</v>
      </c>
      <c r="H63" t="s">
        <v>72</v>
      </c>
      <c r="I63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2</v>
      </c>
      <c r="H64" t="s">
        <v>62</v>
      </c>
      <c r="I64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2</v>
      </c>
      <c r="H65" t="s">
        <v>54</v>
      </c>
      <c r="I65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0</v>
      </c>
      <c r="H66" t="s">
        <v>65</v>
      </c>
      <c r="I66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1</v>
      </c>
      <c r="F67" s="12" t="s">
        <v>145</v>
      </c>
      <c r="G67" s="12">
        <v>3</v>
      </c>
      <c r="H67" t="s">
        <v>59</v>
      </c>
      <c r="I67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1</v>
      </c>
      <c r="F68" s="12" t="s">
        <v>145</v>
      </c>
      <c r="G68" s="12">
        <v>0</v>
      </c>
      <c r="H68" t="s">
        <v>88</v>
      </c>
      <c r="I68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1</v>
      </c>
      <c r="F69" s="12" t="s">
        <v>145</v>
      </c>
      <c r="G69" s="12">
        <v>3</v>
      </c>
      <c r="H69" t="s">
        <v>85</v>
      </c>
      <c r="I69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2</v>
      </c>
      <c r="F70" s="12" t="s">
        <v>145</v>
      </c>
      <c r="G70" s="12">
        <v>2</v>
      </c>
      <c r="H70" t="s">
        <v>82</v>
      </c>
      <c r="I70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1</v>
      </c>
      <c r="H71" t="s">
        <v>91</v>
      </c>
      <c r="I71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0</v>
      </c>
      <c r="F72" s="12" t="s">
        <v>145</v>
      </c>
      <c r="G72" s="12">
        <v>1</v>
      </c>
      <c r="H72" t="s">
        <v>78</v>
      </c>
      <c r="I72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1</v>
      </c>
      <c r="F73" s="12" t="s">
        <v>145</v>
      </c>
      <c r="G73" s="12">
        <v>3</v>
      </c>
      <c r="H73" t="s">
        <v>75</v>
      </c>
      <c r="I73" s="12">
        <f>IF(OR(Tabela_33415[[#This Row],[Placar Mandante]]="",Tabela_33415[[#This Row],[Placar Visitante]]="",Tabela_3[[#This Row],[Placar Mandante]]="",Tabela_3[[#This Row],[Placar Visitante]]=""),0,
IF(AND(Tabela_33415[[#This Row],[Placar Mandante]]=Tabela_3[[#This Row],[Placar Mandante]],Tabela_33415[[#This Row],[Placar Visitante]]=Tabela_3[[#This Row],[Placar Visitante]]),3,
IF(SIGN(Tabela_33415[[#This Row],[Placar Mandante]]-Tabela_33415[[#This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DC98-5886-4250-AA14-1C2D66E14F8C}">
  <dimension ref="A1:K73"/>
  <sheetViews>
    <sheetView topLeftCell="B1" zoomScaleNormal="100" workbookViewId="0">
      <selection activeCell="H75" sqref="H75"/>
    </sheetView>
  </sheetViews>
  <sheetFormatPr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4.554687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0</v>
      </c>
      <c r="H2" t="s">
        <v>7</v>
      </c>
      <c r="I2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  <c r="J2" s="13"/>
      <c r="K2" s="3">
        <f>SUM(Tabela_33473[Pontuação])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2</v>
      </c>
      <c r="H3" t="s">
        <v>12</v>
      </c>
      <c r="I3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1</v>
      </c>
      <c r="H4" t="s">
        <v>16</v>
      </c>
      <c r="I4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0</v>
      </c>
      <c r="H5" t="s">
        <v>20</v>
      </c>
      <c r="I5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3</v>
      </c>
      <c r="H6" t="s">
        <v>24</v>
      </c>
      <c r="I6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1</v>
      </c>
      <c r="H7" t="s">
        <v>28</v>
      </c>
      <c r="I7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3</v>
      </c>
      <c r="H8" t="s">
        <v>32</v>
      </c>
      <c r="I8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0</v>
      </c>
      <c r="F9" s="12" t="s">
        <v>145</v>
      </c>
      <c r="G9" s="12">
        <v>2</v>
      </c>
      <c r="H9" t="s">
        <v>35</v>
      </c>
      <c r="I9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5</v>
      </c>
      <c r="F10" s="12" t="s">
        <v>145</v>
      </c>
      <c r="G10" s="12">
        <v>0</v>
      </c>
      <c r="H10" t="s">
        <v>40</v>
      </c>
      <c r="I10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1</v>
      </c>
      <c r="F11" s="12" t="s">
        <v>145</v>
      </c>
      <c r="G11" s="12">
        <v>1</v>
      </c>
      <c r="H11" t="s">
        <v>44</v>
      </c>
      <c r="I11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0</v>
      </c>
      <c r="H12" t="s">
        <v>48</v>
      </c>
      <c r="I12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2</v>
      </c>
      <c r="F13" s="12" t="s">
        <v>145</v>
      </c>
      <c r="G13" s="12">
        <v>0</v>
      </c>
      <c r="H13" t="s">
        <v>52</v>
      </c>
      <c r="I13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6</v>
      </c>
      <c r="F14" s="12" t="s">
        <v>145</v>
      </c>
      <c r="G14" s="12">
        <v>0</v>
      </c>
      <c r="H14" t="s">
        <v>55</v>
      </c>
      <c r="I14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1</v>
      </c>
      <c r="F15" s="12" t="s">
        <v>145</v>
      </c>
      <c r="G15" s="12">
        <v>0</v>
      </c>
      <c r="H15" t="s">
        <v>60</v>
      </c>
      <c r="I15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1</v>
      </c>
      <c r="H16" t="s">
        <v>63</v>
      </c>
      <c r="I16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2</v>
      </c>
      <c r="F17" s="12" t="s">
        <v>145</v>
      </c>
      <c r="G17" s="12">
        <v>1</v>
      </c>
      <c r="H17" t="s">
        <v>66</v>
      </c>
      <c r="I17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0</v>
      </c>
      <c r="H18" t="s">
        <v>69</v>
      </c>
      <c r="I18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2</v>
      </c>
      <c r="H19" t="s">
        <v>73</v>
      </c>
      <c r="I19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2</v>
      </c>
      <c r="F20" s="12" t="s">
        <v>145</v>
      </c>
      <c r="G20" s="12">
        <v>0</v>
      </c>
      <c r="H20" t="s">
        <v>76</v>
      </c>
      <c r="I20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1</v>
      </c>
      <c r="F21" s="12" t="s">
        <v>145</v>
      </c>
      <c r="G21" s="12">
        <v>0</v>
      </c>
      <c r="H21" t="s">
        <v>79</v>
      </c>
      <c r="I21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5</v>
      </c>
      <c r="F22" s="12" t="s">
        <v>145</v>
      </c>
      <c r="G22" s="12">
        <v>0</v>
      </c>
      <c r="H22" t="s">
        <v>83</v>
      </c>
      <c r="I22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1</v>
      </c>
      <c r="H23" t="s">
        <v>86</v>
      </c>
      <c r="I23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0</v>
      </c>
      <c r="H24" t="s">
        <v>89</v>
      </c>
      <c r="I24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3</v>
      </c>
      <c r="H25" t="s">
        <v>92</v>
      </c>
      <c r="I25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0</v>
      </c>
      <c r="H26" t="s">
        <v>7</v>
      </c>
      <c r="I26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1</v>
      </c>
      <c r="H27" t="s">
        <v>16</v>
      </c>
      <c r="I27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0</v>
      </c>
      <c r="H28" t="s">
        <v>23</v>
      </c>
      <c r="I28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0</v>
      </c>
      <c r="H30" t="s">
        <v>34</v>
      </c>
      <c r="I30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0</v>
      </c>
      <c r="F31" s="12" t="s">
        <v>145</v>
      </c>
      <c r="G31" s="12">
        <v>1</v>
      </c>
      <c r="H31" t="s">
        <v>28</v>
      </c>
      <c r="I31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0</v>
      </c>
      <c r="H32" t="s">
        <v>31</v>
      </c>
      <c r="I32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2</v>
      </c>
      <c r="F33" s="12" t="s">
        <v>145</v>
      </c>
      <c r="G33" s="12">
        <v>1</v>
      </c>
      <c r="H33" t="s">
        <v>20</v>
      </c>
      <c r="I33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1</v>
      </c>
      <c r="H34" t="s">
        <v>51</v>
      </c>
      <c r="I34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0</v>
      </c>
      <c r="H35" t="s">
        <v>47</v>
      </c>
      <c r="I35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0</v>
      </c>
      <c r="H36" t="s">
        <v>40</v>
      </c>
      <c r="I36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0</v>
      </c>
      <c r="F37" s="12" t="s">
        <v>145</v>
      </c>
      <c r="G37" s="12">
        <v>2</v>
      </c>
      <c r="H37" t="s">
        <v>44</v>
      </c>
      <c r="I37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4</v>
      </c>
      <c r="F38" s="12" t="s">
        <v>145</v>
      </c>
      <c r="G38" s="12">
        <v>0</v>
      </c>
      <c r="H38" t="s">
        <v>62</v>
      </c>
      <c r="I38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0</v>
      </c>
      <c r="H39" t="s">
        <v>65</v>
      </c>
      <c r="I39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0</v>
      </c>
      <c r="H40" t="s">
        <v>55</v>
      </c>
      <c r="I40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1</v>
      </c>
      <c r="F41" s="12" t="s">
        <v>145</v>
      </c>
      <c r="G41" s="12">
        <v>2</v>
      </c>
      <c r="H41" t="s">
        <v>60</v>
      </c>
      <c r="I41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1</v>
      </c>
      <c r="F42" s="12" t="s">
        <v>145</v>
      </c>
      <c r="G42" s="12">
        <v>1</v>
      </c>
      <c r="H42" t="s">
        <v>78</v>
      </c>
      <c r="I42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2</v>
      </c>
      <c r="F44" s="12" t="s">
        <v>145</v>
      </c>
      <c r="G44" s="12">
        <v>0</v>
      </c>
      <c r="H44" t="s">
        <v>69</v>
      </c>
      <c r="I44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2</v>
      </c>
      <c r="H45" t="s">
        <v>76</v>
      </c>
      <c r="I45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4</v>
      </c>
      <c r="F46" s="12" t="s">
        <v>145</v>
      </c>
      <c r="G46" s="12">
        <v>0</v>
      </c>
      <c r="H46" t="s">
        <v>91</v>
      </c>
      <c r="I46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1</v>
      </c>
      <c r="H47" t="s">
        <v>88</v>
      </c>
      <c r="I47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3</v>
      </c>
      <c r="H48" t="s">
        <v>86</v>
      </c>
      <c r="I48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4</v>
      </c>
      <c r="F49" s="12" t="s">
        <v>145</v>
      </c>
      <c r="G49" s="12">
        <v>0</v>
      </c>
      <c r="H49" t="s">
        <v>83</v>
      </c>
      <c r="I49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3</v>
      </c>
      <c r="F50" s="12" t="s">
        <v>145</v>
      </c>
      <c r="G50" s="12">
        <v>1</v>
      </c>
      <c r="H50" t="s">
        <v>23</v>
      </c>
      <c r="I50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0</v>
      </c>
      <c r="H51" t="s">
        <v>15</v>
      </c>
      <c r="I51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2</v>
      </c>
      <c r="H52" t="s">
        <v>27</v>
      </c>
      <c r="I52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0</v>
      </c>
      <c r="H53" t="s">
        <v>31</v>
      </c>
      <c r="I53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2</v>
      </c>
      <c r="H54" t="s">
        <v>11</v>
      </c>
      <c r="I54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1</v>
      </c>
      <c r="H55" t="s">
        <v>6</v>
      </c>
      <c r="I55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3</v>
      </c>
      <c r="H56" t="s">
        <v>47</v>
      </c>
      <c r="I56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2</v>
      </c>
      <c r="H57" t="s">
        <v>39</v>
      </c>
      <c r="I57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1</v>
      </c>
      <c r="H58" t="s">
        <v>51</v>
      </c>
      <c r="I58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3</v>
      </c>
      <c r="H59" t="s">
        <v>43</v>
      </c>
      <c r="I59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0</v>
      </c>
      <c r="H60" t="s">
        <v>34</v>
      </c>
      <c r="I60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0</v>
      </c>
      <c r="H61" t="s">
        <v>19</v>
      </c>
      <c r="I61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2</v>
      </c>
      <c r="H62" t="s">
        <v>68</v>
      </c>
      <c r="I62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1</v>
      </c>
      <c r="H63" t="s">
        <v>72</v>
      </c>
      <c r="I63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0</v>
      </c>
      <c r="F64" s="12" t="s">
        <v>145</v>
      </c>
      <c r="G64" s="12">
        <v>2</v>
      </c>
      <c r="H64" t="s">
        <v>62</v>
      </c>
      <c r="I64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2</v>
      </c>
      <c r="H65" t="s">
        <v>54</v>
      </c>
      <c r="I65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0</v>
      </c>
      <c r="H66" t="s">
        <v>65</v>
      </c>
      <c r="I66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2</v>
      </c>
      <c r="H67" t="s">
        <v>59</v>
      </c>
      <c r="I67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1</v>
      </c>
      <c r="H68" t="s">
        <v>88</v>
      </c>
      <c r="I68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4</v>
      </c>
      <c r="H69" t="s">
        <v>85</v>
      </c>
      <c r="I69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0</v>
      </c>
      <c r="F70" s="12" t="s">
        <v>145</v>
      </c>
      <c r="G70" s="12">
        <v>2</v>
      </c>
      <c r="H70" t="s">
        <v>82</v>
      </c>
      <c r="I70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1</v>
      </c>
      <c r="H71" t="s">
        <v>91</v>
      </c>
      <c r="I71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2</v>
      </c>
      <c r="H72" t="s">
        <v>78</v>
      </c>
      <c r="I72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2</v>
      </c>
      <c r="H73" t="s">
        <v>75</v>
      </c>
      <c r="I73" s="12">
        <f>IF(OR(Tabela_33473[[#This Row],[Placar Mandante]]="",Tabela_33473[[#This Row],[Placar Visitante]]="",Tabela_3[[#This Row],[Placar Mandante]]="",Tabela_3[[#This Row],[Placar Visitante]]=""),0,
IF(AND(Tabela_33473[[#This Row],[Placar Mandante]]=Tabela_3[[#This Row],[Placar Mandante]],Tabela_33473[[#This Row],[Placar Visitante]]=Tabela_3[[#This Row],[Placar Visitante]]),3,
IF(SIGN(Tabela_33473[[#This Row],[Placar Mandante]]-Tabela_33473[[#This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E242-F6C0-4F9B-811D-8B5FD909E438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6640625" style="11" hidden="1" customWidth="1"/>
    <col min="2" max="2" width="10.33203125" style="11" bestFit="1" customWidth="1"/>
    <col min="3" max="3" width="9.44140625" style="11" bestFit="1" customWidth="1"/>
    <col min="4" max="4" width="18.33203125" style="11" bestFit="1" customWidth="1"/>
    <col min="5" max="5" width="18.33203125" style="11" customWidth="1"/>
    <col min="6" max="6" width="4.109375" style="12" bestFit="1" customWidth="1"/>
    <col min="7" max="7" width="18.33203125" style="11" customWidth="1"/>
    <col min="8" max="8" width="18.33203125" style="11" bestFit="1" customWidth="1"/>
    <col min="9" max="9" width="8.88671875" style="11"/>
    <col min="10" max="10" width="8.21875" style="11" customWidth="1"/>
    <col min="11" max="11" width="10.3320312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3</v>
      </c>
      <c r="F2" s="12" t="s">
        <v>145</v>
      </c>
      <c r="G2" s="12">
        <v>1</v>
      </c>
      <c r="H2" t="s">
        <v>7</v>
      </c>
      <c r="I2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  <c r="J2" s="13"/>
      <c r="K2" s="3">
        <f>SUM(Tabela_33416[Pontuação])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2</v>
      </c>
      <c r="F3" s="12" t="s">
        <v>145</v>
      </c>
      <c r="G3" s="12">
        <v>3</v>
      </c>
      <c r="H3" t="s">
        <v>12</v>
      </c>
      <c r="I3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0</v>
      </c>
      <c r="H4" t="s">
        <v>16</v>
      </c>
      <c r="I4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2</v>
      </c>
      <c r="H5" t="s">
        <v>20</v>
      </c>
      <c r="I5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2</v>
      </c>
      <c r="F6" s="12" t="s">
        <v>145</v>
      </c>
      <c r="G6" s="12">
        <v>2</v>
      </c>
      <c r="H6" t="s">
        <v>24</v>
      </c>
      <c r="I6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3</v>
      </c>
      <c r="F7" s="12" t="s">
        <v>145</v>
      </c>
      <c r="G7" s="12">
        <v>1</v>
      </c>
      <c r="H7" t="s">
        <v>28</v>
      </c>
      <c r="I7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2</v>
      </c>
      <c r="F8" s="12" t="s">
        <v>145</v>
      </c>
      <c r="G8" s="12">
        <v>2</v>
      </c>
      <c r="H8" t="s">
        <v>32</v>
      </c>
      <c r="I8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2</v>
      </c>
      <c r="F9" s="12" t="s">
        <v>145</v>
      </c>
      <c r="G9" s="12">
        <v>1</v>
      </c>
      <c r="H9" t="s">
        <v>35</v>
      </c>
      <c r="I9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4</v>
      </c>
      <c r="F10" s="12" t="s">
        <v>145</v>
      </c>
      <c r="G10" s="12">
        <v>0</v>
      </c>
      <c r="H10" t="s">
        <v>40</v>
      </c>
      <c r="I10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0</v>
      </c>
      <c r="F11" s="12" t="s">
        <v>145</v>
      </c>
      <c r="G11" s="12">
        <v>2</v>
      </c>
      <c r="H11" t="s">
        <v>44</v>
      </c>
      <c r="I11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1</v>
      </c>
      <c r="H12" t="s">
        <v>48</v>
      </c>
      <c r="I12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2</v>
      </c>
      <c r="F13" s="12" t="s">
        <v>145</v>
      </c>
      <c r="G13" s="12">
        <v>0</v>
      </c>
      <c r="H13" t="s">
        <v>52</v>
      </c>
      <c r="I13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1</v>
      </c>
      <c r="H14" t="s">
        <v>55</v>
      </c>
      <c r="I14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1</v>
      </c>
      <c r="F15" s="12" t="s">
        <v>145</v>
      </c>
      <c r="G15" s="12">
        <v>0</v>
      </c>
      <c r="H15" t="s">
        <v>60</v>
      </c>
      <c r="I15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2</v>
      </c>
      <c r="F16" s="12" t="s">
        <v>145</v>
      </c>
      <c r="G16" s="12">
        <v>3</v>
      </c>
      <c r="H16" t="s">
        <v>63</v>
      </c>
      <c r="I16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2</v>
      </c>
      <c r="F17" s="12" t="s">
        <v>145</v>
      </c>
      <c r="G17" s="12">
        <v>2</v>
      </c>
      <c r="H17" t="s">
        <v>66</v>
      </c>
      <c r="I17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4</v>
      </c>
      <c r="F18" s="12" t="s">
        <v>145</v>
      </c>
      <c r="G18" s="12">
        <v>1</v>
      </c>
      <c r="H18" t="s">
        <v>69</v>
      </c>
      <c r="I18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0</v>
      </c>
      <c r="H19" t="s">
        <v>73</v>
      </c>
      <c r="I19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0</v>
      </c>
      <c r="H20" t="s">
        <v>76</v>
      </c>
      <c r="I20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2</v>
      </c>
      <c r="H21" t="s">
        <v>79</v>
      </c>
      <c r="I21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1</v>
      </c>
      <c r="H22" t="s">
        <v>83</v>
      </c>
      <c r="I22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1</v>
      </c>
      <c r="F23" s="12" t="s">
        <v>145</v>
      </c>
      <c r="G23" s="12">
        <v>1</v>
      </c>
      <c r="H23" t="s">
        <v>86</v>
      </c>
      <c r="I23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0</v>
      </c>
      <c r="H24" t="s">
        <v>89</v>
      </c>
      <c r="I24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3</v>
      </c>
      <c r="F26" s="12" t="s">
        <v>145</v>
      </c>
      <c r="G26" s="12">
        <v>2</v>
      </c>
      <c r="H26" t="s">
        <v>7</v>
      </c>
      <c r="I26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1</v>
      </c>
      <c r="H27" t="s">
        <v>16</v>
      </c>
      <c r="I27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3</v>
      </c>
      <c r="F28" s="12" t="s">
        <v>145</v>
      </c>
      <c r="G28" s="12">
        <v>0</v>
      </c>
      <c r="H28" t="s">
        <v>23</v>
      </c>
      <c r="I28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0</v>
      </c>
      <c r="H29" t="s">
        <v>11</v>
      </c>
      <c r="I29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2</v>
      </c>
      <c r="H30" t="s">
        <v>34</v>
      </c>
      <c r="I30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2</v>
      </c>
      <c r="F31" s="12" t="s">
        <v>145</v>
      </c>
      <c r="G31" s="12">
        <v>2</v>
      </c>
      <c r="H31" t="s">
        <v>28</v>
      </c>
      <c r="I31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2</v>
      </c>
      <c r="F32" s="12" t="s">
        <v>145</v>
      </c>
      <c r="G32" s="12">
        <v>0</v>
      </c>
      <c r="H32" t="s">
        <v>31</v>
      </c>
      <c r="I32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2</v>
      </c>
      <c r="H33" t="s">
        <v>20</v>
      </c>
      <c r="I33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0</v>
      </c>
      <c r="F34" s="12" t="s">
        <v>145</v>
      </c>
      <c r="G34" s="12">
        <v>3</v>
      </c>
      <c r="H34" t="s">
        <v>51</v>
      </c>
      <c r="I34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4</v>
      </c>
      <c r="F35" s="12" t="s">
        <v>145</v>
      </c>
      <c r="G35" s="12">
        <v>0</v>
      </c>
      <c r="H35" t="s">
        <v>47</v>
      </c>
      <c r="I35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2</v>
      </c>
      <c r="F37" s="12" t="s">
        <v>145</v>
      </c>
      <c r="G37" s="12">
        <v>3</v>
      </c>
      <c r="H37" t="s">
        <v>44</v>
      </c>
      <c r="I37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4</v>
      </c>
      <c r="F38" s="12" t="s">
        <v>145</v>
      </c>
      <c r="G38" s="12">
        <v>2</v>
      </c>
      <c r="H38" t="s">
        <v>62</v>
      </c>
      <c r="I38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1</v>
      </c>
      <c r="H39" t="s">
        <v>65</v>
      </c>
      <c r="I39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1</v>
      </c>
      <c r="H40" t="s">
        <v>55</v>
      </c>
      <c r="I40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1</v>
      </c>
      <c r="F41" s="12" t="s">
        <v>145</v>
      </c>
      <c r="G41" s="12">
        <v>2</v>
      </c>
      <c r="H41" t="s">
        <v>60</v>
      </c>
      <c r="I41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3</v>
      </c>
      <c r="F42" s="12" t="s">
        <v>145</v>
      </c>
      <c r="G42" s="12">
        <v>0</v>
      </c>
      <c r="H42" t="s">
        <v>78</v>
      </c>
      <c r="I42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4</v>
      </c>
      <c r="F43" s="12" t="s">
        <v>145</v>
      </c>
      <c r="G43" s="12">
        <v>1</v>
      </c>
      <c r="H43" t="s">
        <v>72</v>
      </c>
      <c r="I43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2</v>
      </c>
      <c r="F44" s="12" t="s">
        <v>145</v>
      </c>
      <c r="G44" s="12">
        <v>1</v>
      </c>
      <c r="H44" t="s">
        <v>69</v>
      </c>
      <c r="I44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3</v>
      </c>
      <c r="F45" s="12" t="s">
        <v>145</v>
      </c>
      <c r="G45" s="12">
        <v>1</v>
      </c>
      <c r="H45" t="s">
        <v>76</v>
      </c>
      <c r="I45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4</v>
      </c>
      <c r="F46" s="12" t="s">
        <v>145</v>
      </c>
      <c r="G46" s="12">
        <v>0</v>
      </c>
      <c r="H46" t="s">
        <v>91</v>
      </c>
      <c r="I46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3</v>
      </c>
      <c r="F47" s="12" t="s">
        <v>145</v>
      </c>
      <c r="G47" s="12">
        <v>0</v>
      </c>
      <c r="H47" t="s">
        <v>88</v>
      </c>
      <c r="I47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2</v>
      </c>
      <c r="F48" s="12" t="s">
        <v>145</v>
      </c>
      <c r="G48" s="12">
        <v>3</v>
      </c>
      <c r="H48" t="s">
        <v>86</v>
      </c>
      <c r="I48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1</v>
      </c>
      <c r="F49" s="12" t="s">
        <v>145</v>
      </c>
      <c r="G49" s="12">
        <v>1</v>
      </c>
      <c r="H49" t="s">
        <v>83</v>
      </c>
      <c r="I49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0</v>
      </c>
      <c r="F50" s="12" t="s">
        <v>145</v>
      </c>
      <c r="G50" s="12">
        <v>2</v>
      </c>
      <c r="H50" t="s">
        <v>23</v>
      </c>
      <c r="I50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2</v>
      </c>
      <c r="F51" s="12" t="s">
        <v>145</v>
      </c>
      <c r="G51" s="12">
        <v>3</v>
      </c>
      <c r="H51" t="s">
        <v>15</v>
      </c>
      <c r="I51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2</v>
      </c>
      <c r="F52" s="12" t="s">
        <v>145</v>
      </c>
      <c r="G52" s="12">
        <v>3</v>
      </c>
      <c r="H52" t="s">
        <v>27</v>
      </c>
      <c r="I52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1</v>
      </c>
      <c r="F53" s="12" t="s">
        <v>145</v>
      </c>
      <c r="G53" s="12">
        <v>1</v>
      </c>
      <c r="H53" t="s">
        <v>31</v>
      </c>
      <c r="I53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0</v>
      </c>
      <c r="H54" t="s">
        <v>11</v>
      </c>
      <c r="I54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0</v>
      </c>
      <c r="F55" s="12" t="s">
        <v>145</v>
      </c>
      <c r="G55" s="12">
        <v>2</v>
      </c>
      <c r="H55" t="s">
        <v>6</v>
      </c>
      <c r="I55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2</v>
      </c>
      <c r="H56" t="s">
        <v>47</v>
      </c>
      <c r="I56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3</v>
      </c>
      <c r="H57" t="s">
        <v>39</v>
      </c>
      <c r="I57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1</v>
      </c>
      <c r="H58" t="s">
        <v>51</v>
      </c>
      <c r="I58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2</v>
      </c>
      <c r="F59" s="12" t="s">
        <v>145</v>
      </c>
      <c r="G59" s="12">
        <v>0</v>
      </c>
      <c r="H59" t="s">
        <v>43</v>
      </c>
      <c r="I59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2</v>
      </c>
      <c r="F60" s="12" t="s">
        <v>145</v>
      </c>
      <c r="G60" s="12">
        <v>1</v>
      </c>
      <c r="H60" t="s">
        <v>34</v>
      </c>
      <c r="I60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2</v>
      </c>
      <c r="F61" s="12" t="s">
        <v>145</v>
      </c>
      <c r="G61" s="12">
        <v>2</v>
      </c>
      <c r="H61" t="s">
        <v>19</v>
      </c>
      <c r="I61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2</v>
      </c>
      <c r="H62" t="s">
        <v>68</v>
      </c>
      <c r="I62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2</v>
      </c>
      <c r="H63" t="s">
        <v>72</v>
      </c>
      <c r="I63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2</v>
      </c>
      <c r="H64" t="s">
        <v>62</v>
      </c>
      <c r="I64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2</v>
      </c>
      <c r="F65" s="12" t="s">
        <v>145</v>
      </c>
      <c r="G65" s="12">
        <v>2</v>
      </c>
      <c r="H65" t="s">
        <v>54</v>
      </c>
      <c r="I65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2</v>
      </c>
      <c r="F66" s="12" t="s">
        <v>145</v>
      </c>
      <c r="G66" s="12">
        <v>0</v>
      </c>
      <c r="H66" t="s">
        <v>65</v>
      </c>
      <c r="I66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1</v>
      </c>
      <c r="F67" s="12" t="s">
        <v>145</v>
      </c>
      <c r="G67" s="12">
        <v>3</v>
      </c>
      <c r="H67" t="s">
        <v>59</v>
      </c>
      <c r="I67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4</v>
      </c>
      <c r="F68" s="12" t="s">
        <v>145</v>
      </c>
      <c r="G68" s="12">
        <v>2</v>
      </c>
      <c r="H68" t="s">
        <v>88</v>
      </c>
      <c r="I68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2</v>
      </c>
      <c r="F70" s="12" t="s">
        <v>145</v>
      </c>
      <c r="G70" s="12">
        <v>4</v>
      </c>
      <c r="H70" t="s">
        <v>82</v>
      </c>
      <c r="I70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2</v>
      </c>
      <c r="F71" s="12" t="s">
        <v>145</v>
      </c>
      <c r="G71" s="12">
        <v>2</v>
      </c>
      <c r="H71" t="s">
        <v>91</v>
      </c>
      <c r="I71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0</v>
      </c>
      <c r="F72" s="12" t="s">
        <v>145</v>
      </c>
      <c r="G72" s="12">
        <v>3</v>
      </c>
      <c r="H72" t="s">
        <v>78</v>
      </c>
      <c r="I72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1</v>
      </c>
      <c r="F73" s="12" t="s">
        <v>145</v>
      </c>
      <c r="G73" s="12">
        <v>3</v>
      </c>
      <c r="H73" t="s">
        <v>75</v>
      </c>
      <c r="I73" s="12">
        <f>IF(OR(Tabela_33416[[#This Row],[Placar Mandante]]="",Tabela_33416[[#This Row],[Placar Visitante]]="",Tabela_3[[#This Row],[Placar Mandante]]="",Tabela_3[[#This Row],[Placar Visitante]]=""),0,
IF(AND(Tabela_33416[[#This Row],[Placar Mandante]]=Tabela_3[[#This Row],[Placar Mandante]],Tabela_33416[[#This Row],[Placar Visitante]]=Tabela_3[[#This Row],[Placar Visitante]]),3,
IF(SIGN(Tabela_33416[[#This Row],[Placar Mandante]]-Tabela_33416[[#This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9E2E-0BF9-4200-BE26-35C13BE262AA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6640625" style="11" hidden="1" customWidth="1"/>
    <col min="2" max="2" width="10.33203125" style="11" bestFit="1" customWidth="1"/>
    <col min="3" max="3" width="9.44140625" style="11" bestFit="1" customWidth="1"/>
    <col min="4" max="4" width="18.33203125" style="11" bestFit="1" customWidth="1"/>
    <col min="5" max="5" width="18.33203125" style="11" customWidth="1"/>
    <col min="6" max="6" width="4.109375" style="12" bestFit="1" customWidth="1"/>
    <col min="7" max="7" width="18.33203125" style="11" customWidth="1"/>
    <col min="8" max="8" width="18.33203125" style="11" bestFit="1" customWidth="1"/>
    <col min="9" max="9" width="8.88671875" style="11"/>
    <col min="10" max="10" width="9.88671875" style="11" customWidth="1"/>
    <col min="11" max="11" width="10.3320312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1</v>
      </c>
      <c r="H2" t="s">
        <v>7</v>
      </c>
      <c r="I2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  <c r="J2" s="13"/>
      <c r="K2" s="3">
        <f>SUM(Tabela_33417[Pontuação])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0</v>
      </c>
      <c r="F3" s="12" t="s">
        <v>145</v>
      </c>
      <c r="G3" s="12">
        <v>1</v>
      </c>
      <c r="H3" t="s">
        <v>12</v>
      </c>
      <c r="I3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0</v>
      </c>
      <c r="H4" t="s">
        <v>16</v>
      </c>
      <c r="I4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2</v>
      </c>
      <c r="F5" s="12" t="s">
        <v>145</v>
      </c>
      <c r="G5" s="12">
        <v>3</v>
      </c>
      <c r="H5" t="s">
        <v>20</v>
      </c>
      <c r="I5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1</v>
      </c>
      <c r="F6" s="12" t="s">
        <v>145</v>
      </c>
      <c r="G6" s="12">
        <v>1</v>
      </c>
      <c r="H6" t="s">
        <v>24</v>
      </c>
      <c r="I6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1</v>
      </c>
      <c r="F7" s="12" t="s">
        <v>145</v>
      </c>
      <c r="G7" s="12">
        <v>2</v>
      </c>
      <c r="H7" t="s">
        <v>28</v>
      </c>
      <c r="I7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3</v>
      </c>
      <c r="H8" t="s">
        <v>32</v>
      </c>
      <c r="I8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3</v>
      </c>
      <c r="H9" t="s">
        <v>35</v>
      </c>
      <c r="I9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8</v>
      </c>
      <c r="F10" s="12" t="s">
        <v>145</v>
      </c>
      <c r="G10" s="12">
        <v>0</v>
      </c>
      <c r="H10" t="s">
        <v>40</v>
      </c>
      <c r="I10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0</v>
      </c>
      <c r="F11" s="12" t="s">
        <v>145</v>
      </c>
      <c r="G11" s="12">
        <v>2</v>
      </c>
      <c r="H11" t="s">
        <v>44</v>
      </c>
      <c r="I11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0</v>
      </c>
      <c r="H12" t="s">
        <v>48</v>
      </c>
      <c r="I12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1</v>
      </c>
      <c r="H13" t="s">
        <v>52</v>
      </c>
      <c r="I13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6</v>
      </c>
      <c r="F14" s="12" t="s">
        <v>145</v>
      </c>
      <c r="G14" s="12">
        <v>0</v>
      </c>
      <c r="H14" t="s">
        <v>55</v>
      </c>
      <c r="I14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2</v>
      </c>
      <c r="H15" t="s">
        <v>60</v>
      </c>
      <c r="I15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3</v>
      </c>
      <c r="F16" s="12" t="s">
        <v>145</v>
      </c>
      <c r="G16" s="12">
        <v>1</v>
      </c>
      <c r="H16" t="s">
        <v>63</v>
      </c>
      <c r="I16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2</v>
      </c>
      <c r="F17" s="12" t="s">
        <v>145</v>
      </c>
      <c r="G17" s="12">
        <v>1</v>
      </c>
      <c r="H17" t="s">
        <v>66</v>
      </c>
      <c r="I17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0</v>
      </c>
      <c r="H18" t="s">
        <v>69</v>
      </c>
      <c r="I18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1</v>
      </c>
      <c r="F19" s="12" t="s">
        <v>145</v>
      </c>
      <c r="G19" s="12">
        <v>2</v>
      </c>
      <c r="H19" t="s">
        <v>73</v>
      </c>
      <c r="I19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5</v>
      </c>
      <c r="F20" s="12" t="s">
        <v>145</v>
      </c>
      <c r="G20" s="12">
        <v>0</v>
      </c>
      <c r="H20" t="s">
        <v>76</v>
      </c>
      <c r="I20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3</v>
      </c>
      <c r="F21" s="12" t="s">
        <v>145</v>
      </c>
      <c r="G21" s="12">
        <v>2</v>
      </c>
      <c r="H21" t="s">
        <v>79</v>
      </c>
      <c r="I21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4</v>
      </c>
      <c r="F22" s="12" t="s">
        <v>145</v>
      </c>
      <c r="G22" s="12">
        <v>0</v>
      </c>
      <c r="H22" t="s">
        <v>83</v>
      </c>
      <c r="I22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3</v>
      </c>
      <c r="F23" s="12" t="s">
        <v>145</v>
      </c>
      <c r="G23" s="12">
        <v>1</v>
      </c>
      <c r="H23" t="s">
        <v>86</v>
      </c>
      <c r="I23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0</v>
      </c>
      <c r="H24" t="s">
        <v>89</v>
      </c>
      <c r="I24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1</v>
      </c>
      <c r="F25" s="12" t="s">
        <v>145</v>
      </c>
      <c r="G25" s="12">
        <v>4</v>
      </c>
      <c r="H25" t="s">
        <v>92</v>
      </c>
      <c r="I25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2</v>
      </c>
      <c r="H26" t="s">
        <v>7</v>
      </c>
      <c r="I26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1</v>
      </c>
      <c r="H27" t="s">
        <v>16</v>
      </c>
      <c r="I27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1</v>
      </c>
      <c r="F28" s="12" t="s">
        <v>145</v>
      </c>
      <c r="G28" s="12">
        <v>2</v>
      </c>
      <c r="H28" t="s">
        <v>23</v>
      </c>
      <c r="I28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3</v>
      </c>
      <c r="F30" s="12" t="s">
        <v>145</v>
      </c>
      <c r="G30" s="12">
        <v>2</v>
      </c>
      <c r="H30" t="s">
        <v>34</v>
      </c>
      <c r="I30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3</v>
      </c>
      <c r="H31" t="s">
        <v>28</v>
      </c>
      <c r="I31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1</v>
      </c>
      <c r="H32" t="s">
        <v>31</v>
      </c>
      <c r="I32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2</v>
      </c>
      <c r="F33" s="12" t="s">
        <v>145</v>
      </c>
      <c r="G33" s="12">
        <v>1</v>
      </c>
      <c r="H33" t="s">
        <v>20</v>
      </c>
      <c r="I33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0</v>
      </c>
      <c r="F34" s="12" t="s">
        <v>145</v>
      </c>
      <c r="G34" s="12">
        <v>2</v>
      </c>
      <c r="H34" t="s">
        <v>51</v>
      </c>
      <c r="I34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4</v>
      </c>
      <c r="F35" s="12" t="s">
        <v>145</v>
      </c>
      <c r="G35" s="12">
        <v>0</v>
      </c>
      <c r="H35" t="s">
        <v>47</v>
      </c>
      <c r="I35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0</v>
      </c>
      <c r="H36" t="s">
        <v>40</v>
      </c>
      <c r="I36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3</v>
      </c>
      <c r="H37" t="s">
        <v>44</v>
      </c>
      <c r="I37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2</v>
      </c>
      <c r="H38" t="s">
        <v>62</v>
      </c>
      <c r="I38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1</v>
      </c>
      <c r="H39" t="s">
        <v>65</v>
      </c>
      <c r="I39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2</v>
      </c>
      <c r="F40" s="12" t="s">
        <v>145</v>
      </c>
      <c r="G40" s="12">
        <v>0</v>
      </c>
      <c r="H40" t="s">
        <v>55</v>
      </c>
      <c r="I40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2</v>
      </c>
      <c r="H41" t="s">
        <v>60</v>
      </c>
      <c r="I41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3</v>
      </c>
      <c r="F42" s="12" t="s">
        <v>145</v>
      </c>
      <c r="G42" s="12">
        <v>1</v>
      </c>
      <c r="H42" t="s">
        <v>78</v>
      </c>
      <c r="I42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4</v>
      </c>
      <c r="F43" s="12" t="s">
        <v>145</v>
      </c>
      <c r="G43" s="12">
        <v>0</v>
      </c>
      <c r="H43" t="s">
        <v>72</v>
      </c>
      <c r="I43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2</v>
      </c>
      <c r="F44" s="12" t="s">
        <v>145</v>
      </c>
      <c r="G44" s="12">
        <v>2</v>
      </c>
      <c r="H44" t="s">
        <v>69</v>
      </c>
      <c r="I44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2</v>
      </c>
      <c r="H45" t="s">
        <v>76</v>
      </c>
      <c r="I45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4</v>
      </c>
      <c r="F46" s="12" t="s">
        <v>145</v>
      </c>
      <c r="G46" s="12">
        <v>1</v>
      </c>
      <c r="H46" t="s">
        <v>91</v>
      </c>
      <c r="I46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3</v>
      </c>
      <c r="F47" s="12" t="s">
        <v>145</v>
      </c>
      <c r="G47" s="12">
        <v>1</v>
      </c>
      <c r="H47" t="s">
        <v>88</v>
      </c>
      <c r="I47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1</v>
      </c>
      <c r="F48" s="12" t="s">
        <v>145</v>
      </c>
      <c r="G48" s="12">
        <v>3</v>
      </c>
      <c r="H48" t="s">
        <v>86</v>
      </c>
      <c r="I48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4</v>
      </c>
      <c r="F49" s="12" t="s">
        <v>145</v>
      </c>
      <c r="G49" s="12">
        <v>1</v>
      </c>
      <c r="H49" t="s">
        <v>83</v>
      </c>
      <c r="I49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3</v>
      </c>
      <c r="H50" t="s">
        <v>23</v>
      </c>
      <c r="I50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0</v>
      </c>
      <c r="F51" s="12" t="s">
        <v>145</v>
      </c>
      <c r="G51" s="12">
        <v>0</v>
      </c>
      <c r="H51" t="s">
        <v>15</v>
      </c>
      <c r="I51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2</v>
      </c>
      <c r="F52" s="12" t="s">
        <v>145</v>
      </c>
      <c r="G52" s="12">
        <v>3</v>
      </c>
      <c r="H52" t="s">
        <v>27</v>
      </c>
      <c r="I52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4</v>
      </c>
      <c r="F53" s="12" t="s">
        <v>145</v>
      </c>
      <c r="G53" s="12">
        <v>0</v>
      </c>
      <c r="H53" t="s">
        <v>31</v>
      </c>
      <c r="I53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2</v>
      </c>
      <c r="F54" s="12" t="s">
        <v>145</v>
      </c>
      <c r="G54" s="12">
        <v>1</v>
      </c>
      <c r="H54" t="s">
        <v>11</v>
      </c>
      <c r="I54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0</v>
      </c>
      <c r="F55" s="12" t="s">
        <v>145</v>
      </c>
      <c r="G55" s="12">
        <v>1</v>
      </c>
      <c r="H55" t="s">
        <v>6</v>
      </c>
      <c r="I55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1</v>
      </c>
      <c r="F56" s="12" t="s">
        <v>145</v>
      </c>
      <c r="G56" s="12">
        <v>0</v>
      </c>
      <c r="H56" t="s">
        <v>47</v>
      </c>
      <c r="I56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2</v>
      </c>
      <c r="F57" s="12" t="s">
        <v>145</v>
      </c>
      <c r="G57" s="12">
        <v>5</v>
      </c>
      <c r="H57" t="s">
        <v>39</v>
      </c>
      <c r="I57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3</v>
      </c>
      <c r="F58" s="12" t="s">
        <v>145</v>
      </c>
      <c r="G58" s="12">
        <v>2</v>
      </c>
      <c r="H58" t="s">
        <v>51</v>
      </c>
      <c r="I58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2</v>
      </c>
      <c r="F59" s="12" t="s">
        <v>145</v>
      </c>
      <c r="G59" s="12">
        <v>0</v>
      </c>
      <c r="H59" t="s">
        <v>43</v>
      </c>
      <c r="I59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3</v>
      </c>
      <c r="F60" s="12" t="s">
        <v>145</v>
      </c>
      <c r="G60" s="12">
        <v>2</v>
      </c>
      <c r="H60" t="s">
        <v>34</v>
      </c>
      <c r="I60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2</v>
      </c>
      <c r="H61" t="s">
        <v>19</v>
      </c>
      <c r="I61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3</v>
      </c>
      <c r="H62" t="s">
        <v>68</v>
      </c>
      <c r="I62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0</v>
      </c>
      <c r="H63" t="s">
        <v>72</v>
      </c>
      <c r="I63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0</v>
      </c>
      <c r="F64" s="12" t="s">
        <v>145</v>
      </c>
      <c r="G64" s="12">
        <v>3</v>
      </c>
      <c r="H64" t="s">
        <v>62</v>
      </c>
      <c r="I64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4</v>
      </c>
      <c r="H65" t="s">
        <v>54</v>
      </c>
      <c r="I65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2</v>
      </c>
      <c r="F66" s="12" t="s">
        <v>145</v>
      </c>
      <c r="G66" s="12">
        <v>0</v>
      </c>
      <c r="H66" t="s">
        <v>65</v>
      </c>
      <c r="I66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2</v>
      </c>
      <c r="H67" t="s">
        <v>59</v>
      </c>
      <c r="I67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4</v>
      </c>
      <c r="F68" s="12" t="s">
        <v>145</v>
      </c>
      <c r="G68" s="12">
        <v>1</v>
      </c>
      <c r="H68" t="s">
        <v>88</v>
      </c>
      <c r="I68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2</v>
      </c>
      <c r="F70" s="12" t="s">
        <v>145</v>
      </c>
      <c r="G70" s="12">
        <v>3</v>
      </c>
      <c r="H70" t="s">
        <v>82</v>
      </c>
      <c r="I70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0</v>
      </c>
      <c r="F71" s="12" t="s">
        <v>145</v>
      </c>
      <c r="G71" s="12">
        <v>2</v>
      </c>
      <c r="H71" t="s">
        <v>91</v>
      </c>
      <c r="I71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1</v>
      </c>
      <c r="F73" s="12" t="s">
        <v>145</v>
      </c>
      <c r="G73" s="12">
        <v>5</v>
      </c>
      <c r="H73" t="s">
        <v>75</v>
      </c>
      <c r="I73" s="12">
        <f>IF(OR(Tabela_33417[[#This Row],[Placar Mandante]]="",Tabela_33417[[#This Row],[Placar Visitante]]="",Tabela_3[[#This Row],[Placar Mandante]]="",Tabela_3[[#This Row],[Placar Visitante]]=""),0,
IF(AND(Tabela_33417[[#This Row],[Placar Mandante]]=Tabela_3[[#This Row],[Placar Mandante]],Tabela_33417[[#This Row],[Placar Visitante]]=Tabela_3[[#This Row],[Placar Visitante]]),3,
IF(SIGN(Tabela_33417[[#This Row],[Placar Mandante]]-Tabela_33417[[#This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F6DA-0FAC-4356-82C1-E688B67A171B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6640625" style="11" hidden="1" customWidth="1"/>
    <col min="2" max="2" width="10.33203125" style="11" bestFit="1" customWidth="1"/>
    <col min="3" max="3" width="9.44140625" style="11" bestFit="1" customWidth="1"/>
    <col min="4" max="4" width="18.33203125" style="11" bestFit="1" customWidth="1"/>
    <col min="5" max="5" width="18.33203125" style="11" customWidth="1"/>
    <col min="6" max="6" width="4.109375" style="12" bestFit="1" customWidth="1"/>
    <col min="7" max="7" width="18.33203125" style="11" customWidth="1"/>
    <col min="8" max="8" width="18.33203125" style="11" bestFit="1" customWidth="1"/>
    <col min="9" max="9" width="8.88671875" style="11"/>
    <col min="10" max="10" width="10.33203125" style="11" customWidth="1"/>
    <col min="11" max="11" width="10.3320312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1</v>
      </c>
      <c r="H2" t="s">
        <v>7</v>
      </c>
      <c r="I2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  <c r="J2" s="13"/>
      <c r="K2" s="3">
        <f>SUM(Tabela_33418[Pontuação])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1</v>
      </c>
      <c r="H3" t="s">
        <v>12</v>
      </c>
      <c r="I3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0</v>
      </c>
      <c r="H4" t="s">
        <v>16</v>
      </c>
      <c r="I4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2</v>
      </c>
      <c r="H5" t="s">
        <v>20</v>
      </c>
      <c r="I5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1</v>
      </c>
      <c r="F6" s="12" t="s">
        <v>145</v>
      </c>
      <c r="G6" s="12">
        <v>3</v>
      </c>
      <c r="H6" t="s">
        <v>24</v>
      </c>
      <c r="I6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1</v>
      </c>
      <c r="H7" t="s">
        <v>28</v>
      </c>
      <c r="I7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1</v>
      </c>
      <c r="F8" s="12" t="s">
        <v>145</v>
      </c>
      <c r="G8" s="12">
        <v>2</v>
      </c>
      <c r="H8" t="s">
        <v>32</v>
      </c>
      <c r="I8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2</v>
      </c>
      <c r="F9" s="12" t="s">
        <v>145</v>
      </c>
      <c r="G9" s="12">
        <v>2</v>
      </c>
      <c r="H9" t="s">
        <v>35</v>
      </c>
      <c r="I9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3</v>
      </c>
      <c r="F10" s="12" t="s">
        <v>145</v>
      </c>
      <c r="G10" s="12">
        <v>0</v>
      </c>
      <c r="H10" t="s">
        <v>40</v>
      </c>
      <c r="I10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0</v>
      </c>
      <c r="F11" s="12" t="s">
        <v>145</v>
      </c>
      <c r="G11" s="12">
        <v>3</v>
      </c>
      <c r="H11" t="s">
        <v>44</v>
      </c>
      <c r="I11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0</v>
      </c>
      <c r="F12" s="12" t="s">
        <v>145</v>
      </c>
      <c r="G12" s="12">
        <v>1</v>
      </c>
      <c r="H12" t="s">
        <v>48</v>
      </c>
      <c r="I12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2</v>
      </c>
      <c r="F13" s="12" t="s">
        <v>145</v>
      </c>
      <c r="G13" s="12">
        <v>0</v>
      </c>
      <c r="H13" t="s">
        <v>52</v>
      </c>
      <c r="I13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1</v>
      </c>
      <c r="H14" t="s">
        <v>55</v>
      </c>
      <c r="I14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1</v>
      </c>
      <c r="H15" t="s">
        <v>60</v>
      </c>
      <c r="I15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1</v>
      </c>
      <c r="H17" t="s">
        <v>66</v>
      </c>
      <c r="I17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3</v>
      </c>
      <c r="F18" s="12" t="s">
        <v>145</v>
      </c>
      <c r="G18" s="12">
        <v>0</v>
      </c>
      <c r="H18" t="s">
        <v>69</v>
      </c>
      <c r="I18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1</v>
      </c>
      <c r="F19" s="12" t="s">
        <v>145</v>
      </c>
      <c r="G19" s="12">
        <v>1</v>
      </c>
      <c r="H19" t="s">
        <v>73</v>
      </c>
      <c r="I19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0</v>
      </c>
      <c r="H20" t="s">
        <v>76</v>
      </c>
      <c r="I20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1</v>
      </c>
      <c r="F21" s="12" t="s">
        <v>145</v>
      </c>
      <c r="G21" s="12">
        <v>0</v>
      </c>
      <c r="H21" t="s">
        <v>79</v>
      </c>
      <c r="I21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1</v>
      </c>
      <c r="H22" t="s">
        <v>83</v>
      </c>
      <c r="I22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1</v>
      </c>
      <c r="H23" t="s">
        <v>86</v>
      </c>
      <c r="I23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1</v>
      </c>
      <c r="F24" s="12" t="s">
        <v>145</v>
      </c>
      <c r="G24" s="12">
        <v>0</v>
      </c>
      <c r="H24" t="s">
        <v>89</v>
      </c>
      <c r="I24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2</v>
      </c>
      <c r="H26" t="s">
        <v>7</v>
      </c>
      <c r="I26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3</v>
      </c>
      <c r="F27" s="12" t="s">
        <v>145</v>
      </c>
      <c r="G27" s="12">
        <v>1</v>
      </c>
      <c r="H27" t="s">
        <v>16</v>
      </c>
      <c r="I27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1</v>
      </c>
      <c r="H28" t="s">
        <v>23</v>
      </c>
      <c r="I28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3</v>
      </c>
      <c r="F29" s="12" t="s">
        <v>145</v>
      </c>
      <c r="G29" s="12">
        <v>1</v>
      </c>
      <c r="H29" t="s">
        <v>11</v>
      </c>
      <c r="I29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1</v>
      </c>
      <c r="H30" t="s">
        <v>34</v>
      </c>
      <c r="I30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1</v>
      </c>
      <c r="H31" t="s">
        <v>28</v>
      </c>
      <c r="I31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2</v>
      </c>
      <c r="F32" s="12" t="s">
        <v>145</v>
      </c>
      <c r="G32" s="12">
        <v>0</v>
      </c>
      <c r="H32" t="s">
        <v>31</v>
      </c>
      <c r="I32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2</v>
      </c>
      <c r="F33" s="12" t="s">
        <v>145</v>
      </c>
      <c r="G33" s="12">
        <v>2</v>
      </c>
      <c r="H33" t="s">
        <v>20</v>
      </c>
      <c r="I33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1</v>
      </c>
      <c r="F34" s="12" t="s">
        <v>145</v>
      </c>
      <c r="G34" s="12">
        <v>3</v>
      </c>
      <c r="H34" t="s">
        <v>51</v>
      </c>
      <c r="I34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4</v>
      </c>
      <c r="F35" s="12" t="s">
        <v>145</v>
      </c>
      <c r="G35" s="12">
        <v>1</v>
      </c>
      <c r="H35" t="s">
        <v>47</v>
      </c>
      <c r="I35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3</v>
      </c>
      <c r="H37" t="s">
        <v>44</v>
      </c>
      <c r="I37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2</v>
      </c>
      <c r="H38" t="s">
        <v>62</v>
      </c>
      <c r="I38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0</v>
      </c>
      <c r="H39" t="s">
        <v>65</v>
      </c>
      <c r="I39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1</v>
      </c>
      <c r="F40" s="12" t="s">
        <v>145</v>
      </c>
      <c r="G40" s="12">
        <v>0</v>
      </c>
      <c r="H40" t="s">
        <v>55</v>
      </c>
      <c r="I40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1</v>
      </c>
      <c r="F41" s="12" t="s">
        <v>145</v>
      </c>
      <c r="G41" s="12">
        <v>2</v>
      </c>
      <c r="H41" t="s">
        <v>60</v>
      </c>
      <c r="I41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3</v>
      </c>
      <c r="F42" s="12" t="s">
        <v>145</v>
      </c>
      <c r="G42" s="12">
        <v>1</v>
      </c>
      <c r="H42" t="s">
        <v>78</v>
      </c>
      <c r="I42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1</v>
      </c>
      <c r="H43" t="s">
        <v>72</v>
      </c>
      <c r="I43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2</v>
      </c>
      <c r="F44" s="12" t="s">
        <v>145</v>
      </c>
      <c r="G44" s="12">
        <v>0</v>
      </c>
      <c r="H44" t="s">
        <v>69</v>
      </c>
      <c r="I44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2</v>
      </c>
      <c r="F45" s="12" t="s">
        <v>145</v>
      </c>
      <c r="G45" s="12">
        <v>2</v>
      </c>
      <c r="H45" t="s">
        <v>76</v>
      </c>
      <c r="I45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0</v>
      </c>
      <c r="H46" t="s">
        <v>91</v>
      </c>
      <c r="I46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2</v>
      </c>
      <c r="H47" t="s">
        <v>88</v>
      </c>
      <c r="I47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1</v>
      </c>
      <c r="F48" s="12" t="s">
        <v>145</v>
      </c>
      <c r="G48" s="12">
        <v>2</v>
      </c>
      <c r="H48" t="s">
        <v>86</v>
      </c>
      <c r="I48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3</v>
      </c>
      <c r="F49" s="12" t="s">
        <v>145</v>
      </c>
      <c r="G49" s="12">
        <v>1</v>
      </c>
      <c r="H49" t="s">
        <v>83</v>
      </c>
      <c r="I49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0</v>
      </c>
      <c r="F50" s="12" t="s">
        <v>145</v>
      </c>
      <c r="G50" s="12">
        <v>2</v>
      </c>
      <c r="H50" t="s">
        <v>23</v>
      </c>
      <c r="I50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2</v>
      </c>
      <c r="F51" s="12" t="s">
        <v>145</v>
      </c>
      <c r="G51" s="12">
        <v>2</v>
      </c>
      <c r="H51" t="s">
        <v>15</v>
      </c>
      <c r="I51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2</v>
      </c>
      <c r="F52" s="12" t="s">
        <v>145</v>
      </c>
      <c r="G52" s="12">
        <v>3</v>
      </c>
      <c r="H52" t="s">
        <v>27</v>
      </c>
      <c r="I52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1</v>
      </c>
      <c r="F53" s="12" t="s">
        <v>145</v>
      </c>
      <c r="G53" s="12">
        <v>0</v>
      </c>
      <c r="H53" t="s">
        <v>31</v>
      </c>
      <c r="I53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1</v>
      </c>
      <c r="H54" t="s">
        <v>11</v>
      </c>
      <c r="I54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2</v>
      </c>
      <c r="F55" s="12" t="s">
        <v>145</v>
      </c>
      <c r="G55" s="12">
        <v>2</v>
      </c>
      <c r="H55" t="s">
        <v>6</v>
      </c>
      <c r="I55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0</v>
      </c>
      <c r="H56" t="s">
        <v>47</v>
      </c>
      <c r="I56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3</v>
      </c>
      <c r="H57" t="s">
        <v>39</v>
      </c>
      <c r="I57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2</v>
      </c>
      <c r="H58" t="s">
        <v>51</v>
      </c>
      <c r="I58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2</v>
      </c>
      <c r="F59" s="12" t="s">
        <v>145</v>
      </c>
      <c r="G59" s="12">
        <v>0</v>
      </c>
      <c r="H59" t="s">
        <v>43</v>
      </c>
      <c r="I59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3</v>
      </c>
      <c r="F60" s="12" t="s">
        <v>145</v>
      </c>
      <c r="G60" s="12">
        <v>2</v>
      </c>
      <c r="H60" t="s">
        <v>34</v>
      </c>
      <c r="I60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2</v>
      </c>
      <c r="F61" s="12" t="s">
        <v>145</v>
      </c>
      <c r="G61" s="12">
        <v>2</v>
      </c>
      <c r="H61" t="s">
        <v>19</v>
      </c>
      <c r="I61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2</v>
      </c>
      <c r="H62" t="s">
        <v>68</v>
      </c>
      <c r="I62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0</v>
      </c>
      <c r="F63" s="12" t="s">
        <v>145</v>
      </c>
      <c r="G63" s="12">
        <v>1</v>
      </c>
      <c r="H63" t="s">
        <v>72</v>
      </c>
      <c r="I63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0</v>
      </c>
      <c r="F64" s="12" t="s">
        <v>145</v>
      </c>
      <c r="G64" s="12">
        <v>2</v>
      </c>
      <c r="H64" t="s">
        <v>62</v>
      </c>
      <c r="I64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3</v>
      </c>
      <c r="F65" s="12" t="s">
        <v>145</v>
      </c>
      <c r="G65" s="12">
        <v>1</v>
      </c>
      <c r="H65" t="s">
        <v>54</v>
      </c>
      <c r="I65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0</v>
      </c>
      <c r="H66" t="s">
        <v>65</v>
      </c>
      <c r="I66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3</v>
      </c>
      <c r="H67" t="s">
        <v>59</v>
      </c>
      <c r="I67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3</v>
      </c>
      <c r="F68" s="12" t="s">
        <v>145</v>
      </c>
      <c r="G68" s="12">
        <v>1</v>
      </c>
      <c r="H68" t="s">
        <v>88</v>
      </c>
      <c r="I68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2</v>
      </c>
      <c r="H69" t="s">
        <v>85</v>
      </c>
      <c r="I69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2</v>
      </c>
      <c r="H70" t="s">
        <v>82</v>
      </c>
      <c r="I70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2</v>
      </c>
      <c r="F71" s="12" t="s">
        <v>145</v>
      </c>
      <c r="G71" s="12">
        <v>1</v>
      </c>
      <c r="H71" t="s">
        <v>91</v>
      </c>
      <c r="I71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2</v>
      </c>
      <c r="F72" s="12" t="s">
        <v>145</v>
      </c>
      <c r="G72" s="12">
        <v>1</v>
      </c>
      <c r="H72" t="s">
        <v>78</v>
      </c>
      <c r="I72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IF(OR(Tabela_33418[[#This Row],[Placar Mandante]]="",Tabela_33418[[#This Row],[Placar Visitante]]="",Tabela_3[[#This Row],[Placar Mandante]]="",Tabela_3[[#This Row],[Placar Visitante]]=""),0,
IF(AND(Tabela_33418[[#This Row],[Placar Mandante]]=Tabela_3[[#This Row],[Placar Mandante]],Tabela_33418[[#This Row],[Placar Visitante]]=Tabela_3[[#This Row],[Placar Visitante]]),3,
IF(SIGN(Tabela_33418[[#This Row],[Placar Mandante]]-Tabela_33418[[#This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3C95-CD37-4FB3-9AF8-95CCEE5ED4B5}">
  <sheetPr codeName="Planilha10"/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1</v>
      </c>
      <c r="F2" s="2" t="s">
        <v>145</v>
      </c>
      <c r="G2" s="12">
        <v>1</v>
      </c>
      <c r="H2" t="s">
        <v>7</v>
      </c>
      <c r="I2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  <c r="K2" s="3">
        <f>SUM(Tabela_3338[Pontuação])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1</v>
      </c>
      <c r="F3" s="2" t="s">
        <v>145</v>
      </c>
      <c r="G3" s="12">
        <v>2</v>
      </c>
      <c r="H3" t="s">
        <v>12</v>
      </c>
      <c r="I3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0</v>
      </c>
      <c r="F4" s="2" t="s">
        <v>145</v>
      </c>
      <c r="G4" s="12">
        <v>1</v>
      </c>
      <c r="H4" t="s">
        <v>16</v>
      </c>
      <c r="I4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2</v>
      </c>
      <c r="F5" s="2" t="s">
        <v>145</v>
      </c>
      <c r="G5" s="12">
        <v>2</v>
      </c>
      <c r="H5" t="s">
        <v>20</v>
      </c>
      <c r="I5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2</v>
      </c>
      <c r="H6" t="s">
        <v>24</v>
      </c>
      <c r="I6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2</v>
      </c>
      <c r="F7" s="2" t="s">
        <v>145</v>
      </c>
      <c r="G7" s="12">
        <v>1</v>
      </c>
      <c r="H7" t="s">
        <v>28</v>
      </c>
      <c r="I7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0</v>
      </c>
      <c r="F8" s="2" t="s">
        <v>145</v>
      </c>
      <c r="G8" s="12">
        <v>2</v>
      </c>
      <c r="H8" t="s">
        <v>32</v>
      </c>
      <c r="I8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1</v>
      </c>
      <c r="F9" s="2" t="s">
        <v>145</v>
      </c>
      <c r="G9" s="12">
        <v>2</v>
      </c>
      <c r="H9" t="s">
        <v>35</v>
      </c>
      <c r="I9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4</v>
      </c>
      <c r="F10" s="2" t="s">
        <v>145</v>
      </c>
      <c r="G10" s="12">
        <v>0</v>
      </c>
      <c r="H10" t="s">
        <v>40</v>
      </c>
      <c r="I10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2</v>
      </c>
      <c r="F11" s="2" t="s">
        <v>145</v>
      </c>
      <c r="G11" s="12">
        <v>1</v>
      </c>
      <c r="H11" t="s">
        <v>44</v>
      </c>
      <c r="I11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2</v>
      </c>
      <c r="F12" s="2" t="s">
        <v>145</v>
      </c>
      <c r="G12" s="12">
        <v>2</v>
      </c>
      <c r="H12" t="s">
        <v>48</v>
      </c>
      <c r="I12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1</v>
      </c>
      <c r="F13" s="2" t="s">
        <v>145</v>
      </c>
      <c r="G13" s="12">
        <v>0</v>
      </c>
      <c r="H13" t="s">
        <v>52</v>
      </c>
      <c r="I13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5</v>
      </c>
      <c r="F14" s="2" t="s">
        <v>145</v>
      </c>
      <c r="G14" s="12">
        <v>0</v>
      </c>
      <c r="H14" t="s">
        <v>55</v>
      </c>
      <c r="I14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3</v>
      </c>
      <c r="F15" s="2" t="s">
        <v>145</v>
      </c>
      <c r="G15" s="12">
        <v>1</v>
      </c>
      <c r="H15" t="s">
        <v>60</v>
      </c>
      <c r="I15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1</v>
      </c>
      <c r="F16" s="2" t="s">
        <v>145</v>
      </c>
      <c r="G16" s="12">
        <v>2</v>
      </c>
      <c r="H16" t="s">
        <v>63</v>
      </c>
      <c r="I16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1</v>
      </c>
      <c r="F17" s="2" t="s">
        <v>145</v>
      </c>
      <c r="G17" s="12">
        <v>1</v>
      </c>
      <c r="H17" t="s">
        <v>66</v>
      </c>
      <c r="I17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2</v>
      </c>
      <c r="F18" s="2" t="s">
        <v>145</v>
      </c>
      <c r="G18" s="12">
        <v>0</v>
      </c>
      <c r="H18" t="s">
        <v>69</v>
      </c>
      <c r="I18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0</v>
      </c>
      <c r="F19" s="2" t="s">
        <v>145</v>
      </c>
      <c r="G19" s="12">
        <v>1</v>
      </c>
      <c r="H19" t="s">
        <v>73</v>
      </c>
      <c r="I19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2</v>
      </c>
      <c r="F20" s="2" t="s">
        <v>145</v>
      </c>
      <c r="G20" s="12">
        <v>1</v>
      </c>
      <c r="H20" t="s">
        <v>76</v>
      </c>
      <c r="I20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1</v>
      </c>
      <c r="F21" s="2" t="s">
        <v>145</v>
      </c>
      <c r="G21" s="12">
        <v>0</v>
      </c>
      <c r="H21" t="s">
        <v>79</v>
      </c>
      <c r="I21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2</v>
      </c>
      <c r="F22" s="2" t="s">
        <v>145</v>
      </c>
      <c r="G22" s="12">
        <v>0</v>
      </c>
      <c r="H22" t="s">
        <v>83</v>
      </c>
      <c r="I22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1</v>
      </c>
      <c r="F23" s="2" t="s">
        <v>145</v>
      </c>
      <c r="G23" s="12">
        <v>1</v>
      </c>
      <c r="H23" t="s">
        <v>86</v>
      </c>
      <c r="I23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2</v>
      </c>
      <c r="F24" s="2" t="s">
        <v>145</v>
      </c>
      <c r="G24" s="12">
        <v>1</v>
      </c>
      <c r="H24" t="s">
        <v>89</v>
      </c>
      <c r="I24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0</v>
      </c>
      <c r="H25" t="s">
        <v>92</v>
      </c>
      <c r="I25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2</v>
      </c>
      <c r="F26" s="2" t="s">
        <v>145</v>
      </c>
      <c r="G26" s="12">
        <v>0</v>
      </c>
      <c r="H26" t="s">
        <v>7</v>
      </c>
      <c r="I26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1</v>
      </c>
      <c r="F27" s="2" t="s">
        <v>145</v>
      </c>
      <c r="G27" s="12">
        <v>0</v>
      </c>
      <c r="H27" t="s">
        <v>16</v>
      </c>
      <c r="I27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1</v>
      </c>
      <c r="F28" s="2" t="s">
        <v>145</v>
      </c>
      <c r="G28" s="12">
        <v>0</v>
      </c>
      <c r="H28" t="s">
        <v>23</v>
      </c>
      <c r="I28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2</v>
      </c>
      <c r="F29" s="2" t="s">
        <v>145</v>
      </c>
      <c r="G29" s="12">
        <v>1</v>
      </c>
      <c r="H29" t="s">
        <v>11</v>
      </c>
      <c r="I29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1</v>
      </c>
      <c r="F30" s="2" t="s">
        <v>145</v>
      </c>
      <c r="G30" s="12">
        <v>1</v>
      </c>
      <c r="H30" t="s">
        <v>34</v>
      </c>
      <c r="I30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1</v>
      </c>
      <c r="F31" s="2" t="s">
        <v>145</v>
      </c>
      <c r="G31" s="12">
        <v>2</v>
      </c>
      <c r="H31" t="s">
        <v>28</v>
      </c>
      <c r="I31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5</v>
      </c>
      <c r="F32" s="2" t="s">
        <v>145</v>
      </c>
      <c r="G32" s="12">
        <v>1</v>
      </c>
      <c r="H32" t="s">
        <v>31</v>
      </c>
      <c r="I32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1</v>
      </c>
      <c r="F33" s="2" t="s">
        <v>145</v>
      </c>
      <c r="G33" s="12">
        <v>1</v>
      </c>
      <c r="H33" t="s">
        <v>20</v>
      </c>
      <c r="I33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1</v>
      </c>
      <c r="F34" s="2" t="s">
        <v>145</v>
      </c>
      <c r="G34" s="12">
        <v>0</v>
      </c>
      <c r="H34" t="s">
        <v>51</v>
      </c>
      <c r="I34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3</v>
      </c>
      <c r="F35" s="2" t="s">
        <v>145</v>
      </c>
      <c r="G35" s="12">
        <v>1</v>
      </c>
      <c r="H35" t="s">
        <v>47</v>
      </c>
      <c r="I35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2</v>
      </c>
      <c r="F36" s="2" t="s">
        <v>145</v>
      </c>
      <c r="G36" s="12">
        <v>0</v>
      </c>
      <c r="H36" t="s">
        <v>40</v>
      </c>
      <c r="I36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0</v>
      </c>
      <c r="F37" s="2" t="s">
        <v>145</v>
      </c>
      <c r="G37" s="12">
        <v>1</v>
      </c>
      <c r="H37" t="s">
        <v>44</v>
      </c>
      <c r="I37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3</v>
      </c>
      <c r="F38" s="2" t="s">
        <v>145</v>
      </c>
      <c r="G38" s="12">
        <v>0</v>
      </c>
      <c r="H38" t="s">
        <v>62</v>
      </c>
      <c r="I38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3</v>
      </c>
      <c r="F39" s="2" t="s">
        <v>145</v>
      </c>
      <c r="G39" s="12">
        <v>0</v>
      </c>
      <c r="H39" t="s">
        <v>65</v>
      </c>
      <c r="I39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2</v>
      </c>
      <c r="F40" s="2" t="s">
        <v>145</v>
      </c>
      <c r="G40" s="12">
        <v>0</v>
      </c>
      <c r="H40" t="s">
        <v>55</v>
      </c>
      <c r="I40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1</v>
      </c>
      <c r="F41" s="2" t="s">
        <v>145</v>
      </c>
      <c r="G41" s="12">
        <v>1</v>
      </c>
      <c r="H41" t="s">
        <v>60</v>
      </c>
      <c r="I41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2</v>
      </c>
      <c r="F42" s="2" t="s">
        <v>145</v>
      </c>
      <c r="G42" s="12">
        <v>1</v>
      </c>
      <c r="H42" t="s">
        <v>78</v>
      </c>
      <c r="I42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5</v>
      </c>
      <c r="F43" s="2" t="s">
        <v>145</v>
      </c>
      <c r="G43" s="12">
        <v>1</v>
      </c>
      <c r="H43" t="s">
        <v>72</v>
      </c>
      <c r="I43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2</v>
      </c>
      <c r="F44" s="2" t="s">
        <v>145</v>
      </c>
      <c r="G44" s="12">
        <v>2</v>
      </c>
      <c r="H44" t="s">
        <v>69</v>
      </c>
      <c r="I44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1</v>
      </c>
      <c r="F45" s="2" t="s">
        <v>145</v>
      </c>
      <c r="G45" s="12">
        <v>1</v>
      </c>
      <c r="H45" t="s">
        <v>76</v>
      </c>
      <c r="I45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2</v>
      </c>
      <c r="F46" s="2" t="s">
        <v>145</v>
      </c>
      <c r="G46" s="12">
        <v>0</v>
      </c>
      <c r="H46" t="s">
        <v>91</v>
      </c>
      <c r="I46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3</v>
      </c>
      <c r="F47" s="2" t="s">
        <v>145</v>
      </c>
      <c r="G47" s="12">
        <v>1</v>
      </c>
      <c r="H47" t="s">
        <v>88</v>
      </c>
      <c r="I47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0</v>
      </c>
      <c r="F48" s="2" t="s">
        <v>145</v>
      </c>
      <c r="G48" s="12">
        <v>2</v>
      </c>
      <c r="H48" t="s">
        <v>86</v>
      </c>
      <c r="I48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2</v>
      </c>
      <c r="F49" s="2" t="s">
        <v>145</v>
      </c>
      <c r="G49" s="12">
        <v>1</v>
      </c>
      <c r="H49" t="s">
        <v>83</v>
      </c>
      <c r="I49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0</v>
      </c>
      <c r="F50" s="2" t="s">
        <v>145</v>
      </c>
      <c r="G50" s="12">
        <v>0</v>
      </c>
      <c r="H50" t="s">
        <v>23</v>
      </c>
      <c r="I50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1</v>
      </c>
      <c r="F51" s="2" t="s">
        <v>145</v>
      </c>
      <c r="G51" s="12">
        <v>1</v>
      </c>
      <c r="H51" t="s">
        <v>15</v>
      </c>
      <c r="I51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1</v>
      </c>
      <c r="F52" s="2" t="s">
        <v>145</v>
      </c>
      <c r="G52" s="12">
        <v>3</v>
      </c>
      <c r="H52" t="s">
        <v>27</v>
      </c>
      <c r="I52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2</v>
      </c>
      <c r="F53" s="2" t="s">
        <v>145</v>
      </c>
      <c r="G53" s="12">
        <v>0</v>
      </c>
      <c r="H53" t="s">
        <v>31</v>
      </c>
      <c r="I53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1</v>
      </c>
      <c r="F54" s="2" t="s">
        <v>145</v>
      </c>
      <c r="G54" s="12">
        <v>2</v>
      </c>
      <c r="H54" t="s">
        <v>11</v>
      </c>
      <c r="I54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1</v>
      </c>
      <c r="F55" s="2" t="s">
        <v>145</v>
      </c>
      <c r="G55" s="12">
        <v>1</v>
      </c>
      <c r="H55" t="s">
        <v>6</v>
      </c>
      <c r="I55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0</v>
      </c>
      <c r="F56" s="2" t="s">
        <v>145</v>
      </c>
      <c r="G56" s="12">
        <v>2</v>
      </c>
      <c r="H56" t="s">
        <v>47</v>
      </c>
      <c r="I56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1</v>
      </c>
      <c r="F57" s="2" t="s">
        <v>145</v>
      </c>
      <c r="G57" s="12">
        <v>2</v>
      </c>
      <c r="H57" t="s">
        <v>39</v>
      </c>
      <c r="I57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1</v>
      </c>
      <c r="F58" s="2" t="s">
        <v>145</v>
      </c>
      <c r="G58" s="12">
        <v>1</v>
      </c>
      <c r="H58" t="s">
        <v>51</v>
      </c>
      <c r="I58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0</v>
      </c>
      <c r="F59" s="2" t="s">
        <v>145</v>
      </c>
      <c r="G59" s="12">
        <v>2</v>
      </c>
      <c r="H59" t="s">
        <v>43</v>
      </c>
      <c r="I59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1</v>
      </c>
      <c r="F60" s="2" t="s">
        <v>145</v>
      </c>
      <c r="G60" s="12">
        <v>1</v>
      </c>
      <c r="H60" t="s">
        <v>34</v>
      </c>
      <c r="I60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1</v>
      </c>
      <c r="F61" s="2" t="s">
        <v>145</v>
      </c>
      <c r="G61" s="12">
        <v>2</v>
      </c>
      <c r="H61" t="s">
        <v>19</v>
      </c>
      <c r="I61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1</v>
      </c>
      <c r="F62" s="2" t="s">
        <v>145</v>
      </c>
      <c r="G62" s="12">
        <v>2</v>
      </c>
      <c r="H62" t="s">
        <v>68</v>
      </c>
      <c r="I62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2</v>
      </c>
      <c r="F63" s="2" t="s">
        <v>145</v>
      </c>
      <c r="G63" s="12">
        <v>1</v>
      </c>
      <c r="H63" t="s">
        <v>72</v>
      </c>
      <c r="I63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0</v>
      </c>
      <c r="F64" s="2" t="s">
        <v>145</v>
      </c>
      <c r="G64" s="12">
        <v>0</v>
      </c>
      <c r="H64" t="s">
        <v>62</v>
      </c>
      <c r="I64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2</v>
      </c>
      <c r="F65" s="2" t="s">
        <v>145</v>
      </c>
      <c r="G65" s="12">
        <v>3</v>
      </c>
      <c r="H65" t="s">
        <v>54</v>
      </c>
      <c r="I65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1</v>
      </c>
      <c r="F66" s="2" t="s">
        <v>145</v>
      </c>
      <c r="G66" s="12">
        <v>0</v>
      </c>
      <c r="H66" t="s">
        <v>65</v>
      </c>
      <c r="I66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0</v>
      </c>
      <c r="F67" s="2" t="s">
        <v>145</v>
      </c>
      <c r="G67" s="12">
        <v>2</v>
      </c>
      <c r="H67" t="s">
        <v>59</v>
      </c>
      <c r="I67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2</v>
      </c>
      <c r="F68" s="2" t="s">
        <v>145</v>
      </c>
      <c r="G68" s="12">
        <v>1</v>
      </c>
      <c r="H68" t="s">
        <v>88</v>
      </c>
      <c r="I68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1</v>
      </c>
      <c r="F69" s="2" t="s">
        <v>145</v>
      </c>
      <c r="G69" s="12">
        <v>3</v>
      </c>
      <c r="H69" t="s">
        <v>85</v>
      </c>
      <c r="I69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1</v>
      </c>
      <c r="F70" s="2" t="s">
        <v>145</v>
      </c>
      <c r="G70" s="12">
        <v>1</v>
      </c>
      <c r="H70" t="s">
        <v>82</v>
      </c>
      <c r="I70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0</v>
      </c>
      <c r="F71" s="2" t="s">
        <v>145</v>
      </c>
      <c r="G71" s="12">
        <v>0</v>
      </c>
      <c r="H71" t="s">
        <v>91</v>
      </c>
      <c r="I71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1</v>
      </c>
      <c r="F72" s="2" t="s">
        <v>145</v>
      </c>
      <c r="G72" s="12">
        <v>2</v>
      </c>
      <c r="H72" t="s">
        <v>78</v>
      </c>
      <c r="I72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0</v>
      </c>
      <c r="F73" s="2" t="s">
        <v>145</v>
      </c>
      <c r="G73" s="12">
        <v>2</v>
      </c>
      <c r="H73" t="s">
        <v>75</v>
      </c>
      <c r="I73" s="2">
        <f>IF(OR(Tabela_3338[[#This Row],[Placar Mandante]]="",Tabela_3338[[#This Row],[Placar Visitante]]="",Tabela_3[[#This Row],[Placar Mandante]]="",Tabela_3[[#This Row],[Placar Visitante]]=""),0,
IF(AND(Tabela_3338[[#This Row],[Placar Mandante]]=Tabela_3[[#This Row],[Placar Mandante]],Tabela_3338[[#This Row],[Placar Visitante]]=Tabela_3[[#This Row],[Placar Visitante]]),3,
IF(SIGN(Tabela_3338[[#This Row],[Placar Mandante]]-Tabela_3338[[#This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6A99-BCA4-4A8F-B357-66ED2EFFD2A5}">
  <sheetPr codeName="Planilha11"/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2</v>
      </c>
      <c r="F2" s="2" t="s">
        <v>145</v>
      </c>
      <c r="G2" s="12">
        <v>0</v>
      </c>
      <c r="H2" t="s">
        <v>7</v>
      </c>
      <c r="I2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  <c r="K2" s="3">
        <f>SUM(Tabela_3339[Pontuação])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1</v>
      </c>
      <c r="F3" s="2" t="s">
        <v>145</v>
      </c>
      <c r="G3" s="12">
        <v>0</v>
      </c>
      <c r="H3" t="s">
        <v>12</v>
      </c>
      <c r="I3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2</v>
      </c>
      <c r="F4" s="2" t="s">
        <v>145</v>
      </c>
      <c r="G4" s="12">
        <v>1</v>
      </c>
      <c r="H4" t="s">
        <v>16</v>
      </c>
      <c r="I4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1</v>
      </c>
      <c r="F5" s="2" t="s">
        <v>145</v>
      </c>
      <c r="G5" s="12">
        <v>1</v>
      </c>
      <c r="H5" t="s">
        <v>20</v>
      </c>
      <c r="I5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2</v>
      </c>
      <c r="H6" t="s">
        <v>24</v>
      </c>
      <c r="I6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2</v>
      </c>
      <c r="F7" s="2" t="s">
        <v>145</v>
      </c>
      <c r="G7" s="12">
        <v>0</v>
      </c>
      <c r="H7" t="s">
        <v>28</v>
      </c>
      <c r="I7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1</v>
      </c>
      <c r="F8" s="2" t="s">
        <v>145</v>
      </c>
      <c r="G8" s="12">
        <v>1</v>
      </c>
      <c r="H8" t="s">
        <v>32</v>
      </c>
      <c r="I8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0</v>
      </c>
      <c r="F9" s="2" t="s">
        <v>145</v>
      </c>
      <c r="G9" s="12">
        <v>2</v>
      </c>
      <c r="H9" t="s">
        <v>35</v>
      </c>
      <c r="I9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4</v>
      </c>
      <c r="F10" s="2" t="s">
        <v>145</v>
      </c>
      <c r="G10" s="12">
        <v>0</v>
      </c>
      <c r="H10" t="s">
        <v>40</v>
      </c>
      <c r="I10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2</v>
      </c>
      <c r="F11" s="2" t="s">
        <v>145</v>
      </c>
      <c r="G11" s="12">
        <v>2</v>
      </c>
      <c r="H11" t="s">
        <v>44</v>
      </c>
      <c r="I11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1</v>
      </c>
      <c r="F12" s="2" t="s">
        <v>145</v>
      </c>
      <c r="G12" s="12">
        <v>1</v>
      </c>
      <c r="H12" t="s">
        <v>48</v>
      </c>
      <c r="I12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1</v>
      </c>
      <c r="F13" s="2" t="s">
        <v>145</v>
      </c>
      <c r="G13" s="12">
        <v>0</v>
      </c>
      <c r="H13" t="s">
        <v>52</v>
      </c>
      <c r="I13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4</v>
      </c>
      <c r="F14" s="2" t="s">
        <v>145</v>
      </c>
      <c r="G14" s="12">
        <v>1</v>
      </c>
      <c r="H14" t="s">
        <v>55</v>
      </c>
      <c r="I14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3</v>
      </c>
      <c r="F15" s="2" t="s">
        <v>145</v>
      </c>
      <c r="G15" s="12">
        <v>1</v>
      </c>
      <c r="H15" t="s">
        <v>60</v>
      </c>
      <c r="I15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1</v>
      </c>
      <c r="F16" s="2" t="s">
        <v>145</v>
      </c>
      <c r="G16" s="12">
        <v>2</v>
      </c>
      <c r="H16" t="s">
        <v>63</v>
      </c>
      <c r="I16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2</v>
      </c>
      <c r="F17" s="2" t="s">
        <v>145</v>
      </c>
      <c r="G17" s="12">
        <v>0</v>
      </c>
      <c r="H17" t="s">
        <v>66</v>
      </c>
      <c r="I17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2</v>
      </c>
      <c r="F18" s="2" t="s">
        <v>145</v>
      </c>
      <c r="G18" s="12">
        <v>2</v>
      </c>
      <c r="H18" t="s">
        <v>69</v>
      </c>
      <c r="I18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0</v>
      </c>
      <c r="F19" s="2" t="s">
        <v>145</v>
      </c>
      <c r="G19" s="12">
        <v>1</v>
      </c>
      <c r="H19" t="s">
        <v>73</v>
      </c>
      <c r="I19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2</v>
      </c>
      <c r="F20" s="2" t="s">
        <v>145</v>
      </c>
      <c r="G20" s="12">
        <v>1</v>
      </c>
      <c r="H20" t="s">
        <v>76</v>
      </c>
      <c r="I20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1</v>
      </c>
      <c r="F21" s="2" t="s">
        <v>145</v>
      </c>
      <c r="G21" s="12">
        <v>0</v>
      </c>
      <c r="H21" t="s">
        <v>79</v>
      </c>
      <c r="I21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3</v>
      </c>
      <c r="F22" s="2" t="s">
        <v>145</v>
      </c>
      <c r="G22" s="12">
        <v>1</v>
      </c>
      <c r="H22" t="s">
        <v>83</v>
      </c>
      <c r="I22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2</v>
      </c>
      <c r="F23" s="2" t="s">
        <v>145</v>
      </c>
      <c r="G23" s="12">
        <v>1</v>
      </c>
      <c r="H23" t="s">
        <v>86</v>
      </c>
      <c r="I23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3</v>
      </c>
      <c r="F24" s="2" t="s">
        <v>145</v>
      </c>
      <c r="G24" s="12">
        <v>1</v>
      </c>
      <c r="H24" t="s">
        <v>89</v>
      </c>
      <c r="I24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2</v>
      </c>
      <c r="H25" t="s">
        <v>92</v>
      </c>
      <c r="I25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1</v>
      </c>
      <c r="F26" s="2" t="s">
        <v>145</v>
      </c>
      <c r="G26" s="12">
        <v>1</v>
      </c>
      <c r="H26" t="s">
        <v>7</v>
      </c>
      <c r="I26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1</v>
      </c>
      <c r="F27" s="2" t="s">
        <v>145</v>
      </c>
      <c r="G27" s="12">
        <v>2</v>
      </c>
      <c r="H27" t="s">
        <v>16</v>
      </c>
      <c r="I27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1</v>
      </c>
      <c r="F28" s="2" t="s">
        <v>145</v>
      </c>
      <c r="G28" s="12">
        <v>0</v>
      </c>
      <c r="H28" t="s">
        <v>23</v>
      </c>
      <c r="I28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1</v>
      </c>
      <c r="F29" s="2" t="s">
        <v>145</v>
      </c>
      <c r="G29" s="12">
        <v>1</v>
      </c>
      <c r="H29" t="s">
        <v>11</v>
      </c>
      <c r="I29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1</v>
      </c>
      <c r="F30" s="2" t="s">
        <v>145</v>
      </c>
      <c r="G30" s="12">
        <v>0</v>
      </c>
      <c r="H30" t="s">
        <v>34</v>
      </c>
      <c r="I30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0</v>
      </c>
      <c r="F31" s="2" t="s">
        <v>145</v>
      </c>
      <c r="G31" s="12">
        <v>1</v>
      </c>
      <c r="H31" t="s">
        <v>28</v>
      </c>
      <c r="I31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4</v>
      </c>
      <c r="F32" s="2" t="s">
        <v>145</v>
      </c>
      <c r="G32" s="12">
        <v>0</v>
      </c>
      <c r="H32" t="s">
        <v>31</v>
      </c>
      <c r="I32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2</v>
      </c>
      <c r="F33" s="2" t="s">
        <v>145</v>
      </c>
      <c r="G33" s="12">
        <v>2</v>
      </c>
      <c r="H33" t="s">
        <v>20</v>
      </c>
      <c r="I33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1</v>
      </c>
      <c r="F34" s="2" t="s">
        <v>145</v>
      </c>
      <c r="G34" s="12">
        <v>0</v>
      </c>
      <c r="H34" t="s">
        <v>51</v>
      </c>
      <c r="I34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1</v>
      </c>
      <c r="F35" s="2" t="s">
        <v>145</v>
      </c>
      <c r="G35" s="12">
        <v>1</v>
      </c>
      <c r="H35" t="s">
        <v>47</v>
      </c>
      <c r="I35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3</v>
      </c>
      <c r="F36" s="2" t="s">
        <v>145</v>
      </c>
      <c r="G36" s="12">
        <v>0</v>
      </c>
      <c r="H36" t="s">
        <v>40</v>
      </c>
      <c r="I36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0</v>
      </c>
      <c r="F37" s="2" t="s">
        <v>145</v>
      </c>
      <c r="G37" s="12">
        <v>2</v>
      </c>
      <c r="H37" t="s">
        <v>44</v>
      </c>
      <c r="I37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2</v>
      </c>
      <c r="F38" s="2" t="s">
        <v>145</v>
      </c>
      <c r="G38" s="12">
        <v>0</v>
      </c>
      <c r="H38" t="s">
        <v>62</v>
      </c>
      <c r="I38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2</v>
      </c>
      <c r="F39" s="2" t="s">
        <v>145</v>
      </c>
      <c r="G39" s="12">
        <v>1</v>
      </c>
      <c r="H39" t="s">
        <v>65</v>
      </c>
      <c r="I39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3</v>
      </c>
      <c r="F40" s="2" t="s">
        <v>145</v>
      </c>
      <c r="G40" s="12">
        <v>1</v>
      </c>
      <c r="H40" t="s">
        <v>55</v>
      </c>
      <c r="I40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0</v>
      </c>
      <c r="F41" s="2" t="s">
        <v>145</v>
      </c>
      <c r="G41" s="12">
        <v>2</v>
      </c>
      <c r="H41" t="s">
        <v>60</v>
      </c>
      <c r="I41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1</v>
      </c>
      <c r="F42" s="2" t="s">
        <v>145</v>
      </c>
      <c r="G42" s="12">
        <v>0</v>
      </c>
      <c r="H42" t="s">
        <v>78</v>
      </c>
      <c r="I42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3</v>
      </c>
      <c r="F43" s="2" t="s">
        <v>145</v>
      </c>
      <c r="G43" s="12">
        <v>0</v>
      </c>
      <c r="H43" t="s">
        <v>72</v>
      </c>
      <c r="I43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2</v>
      </c>
      <c r="F44" s="2" t="s">
        <v>145</v>
      </c>
      <c r="G44" s="12">
        <v>2</v>
      </c>
      <c r="H44" t="s">
        <v>69</v>
      </c>
      <c r="I44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0</v>
      </c>
      <c r="F45" s="2" t="s">
        <v>145</v>
      </c>
      <c r="G45" s="12">
        <v>2</v>
      </c>
      <c r="H45" t="s">
        <v>76</v>
      </c>
      <c r="I45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4</v>
      </c>
      <c r="F46" s="2" t="s">
        <v>145</v>
      </c>
      <c r="G46" s="12">
        <v>0</v>
      </c>
      <c r="H46" t="s">
        <v>91</v>
      </c>
      <c r="I46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2</v>
      </c>
      <c r="F47" s="2" t="s">
        <v>145</v>
      </c>
      <c r="G47" s="12">
        <v>0</v>
      </c>
      <c r="H47" t="s">
        <v>88</v>
      </c>
      <c r="I47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1</v>
      </c>
      <c r="F48" s="2" t="s">
        <v>145</v>
      </c>
      <c r="G48" s="12">
        <v>2</v>
      </c>
      <c r="H48" t="s">
        <v>86</v>
      </c>
      <c r="I48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2</v>
      </c>
      <c r="F49" s="2" t="s">
        <v>145</v>
      </c>
      <c r="G49" s="12">
        <v>1</v>
      </c>
      <c r="H49" t="s">
        <v>83</v>
      </c>
      <c r="I49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1</v>
      </c>
      <c r="F50" s="2" t="s">
        <v>145</v>
      </c>
      <c r="G50" s="12">
        <v>0</v>
      </c>
      <c r="H50" t="s">
        <v>23</v>
      </c>
      <c r="I50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1</v>
      </c>
      <c r="F51" s="2" t="s">
        <v>145</v>
      </c>
      <c r="G51" s="12">
        <v>1</v>
      </c>
      <c r="H51" t="s">
        <v>15</v>
      </c>
      <c r="I51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0</v>
      </c>
      <c r="F52" s="2" t="s">
        <v>145</v>
      </c>
      <c r="G52" s="12">
        <v>2</v>
      </c>
      <c r="H52" t="s">
        <v>27</v>
      </c>
      <c r="I52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2</v>
      </c>
      <c r="F53" s="2" t="s">
        <v>145</v>
      </c>
      <c r="G53" s="12">
        <v>1</v>
      </c>
      <c r="H53" t="s">
        <v>31</v>
      </c>
      <c r="I53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1</v>
      </c>
      <c r="F54" s="2" t="s">
        <v>145</v>
      </c>
      <c r="G54" s="12">
        <v>2</v>
      </c>
      <c r="H54" t="s">
        <v>11</v>
      </c>
      <c r="I54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0</v>
      </c>
      <c r="F55" s="2" t="s">
        <v>145</v>
      </c>
      <c r="G55" s="12">
        <v>2</v>
      </c>
      <c r="H55" t="s">
        <v>6</v>
      </c>
      <c r="I55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1</v>
      </c>
      <c r="F56" s="2" t="s">
        <v>145</v>
      </c>
      <c r="G56" s="12">
        <v>4</v>
      </c>
      <c r="H56" t="s">
        <v>47</v>
      </c>
      <c r="I56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0</v>
      </c>
      <c r="F57" s="2" t="s">
        <v>145</v>
      </c>
      <c r="G57" s="12">
        <v>1</v>
      </c>
      <c r="H57" t="s">
        <v>39</v>
      </c>
      <c r="I57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2</v>
      </c>
      <c r="F58" s="2" t="s">
        <v>145</v>
      </c>
      <c r="G58" s="12">
        <v>1</v>
      </c>
      <c r="H58" t="s">
        <v>51</v>
      </c>
      <c r="I58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1</v>
      </c>
      <c r="F59" s="2" t="s">
        <v>145</v>
      </c>
      <c r="G59" s="12">
        <v>2</v>
      </c>
      <c r="H59" t="s">
        <v>43</v>
      </c>
      <c r="I59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2</v>
      </c>
      <c r="F60" s="2" t="s">
        <v>145</v>
      </c>
      <c r="G60" s="12">
        <v>1</v>
      </c>
      <c r="H60" t="s">
        <v>34</v>
      </c>
      <c r="I60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2</v>
      </c>
      <c r="F61" s="2" t="s">
        <v>145</v>
      </c>
      <c r="G61" s="12">
        <v>1</v>
      </c>
      <c r="H61" t="s">
        <v>19</v>
      </c>
      <c r="I61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0</v>
      </c>
      <c r="F62" s="2" t="s">
        <v>145</v>
      </c>
      <c r="G62" s="12">
        <v>2</v>
      </c>
      <c r="H62" t="s">
        <v>68</v>
      </c>
      <c r="I62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1</v>
      </c>
      <c r="F63" s="2" t="s">
        <v>145</v>
      </c>
      <c r="G63" s="12">
        <v>0</v>
      </c>
      <c r="H63" t="s">
        <v>72</v>
      </c>
      <c r="I63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0</v>
      </c>
      <c r="F64" s="2" t="s">
        <v>145</v>
      </c>
      <c r="G64" s="12">
        <v>1</v>
      </c>
      <c r="H64" t="s">
        <v>62</v>
      </c>
      <c r="I64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1</v>
      </c>
      <c r="F65" s="2" t="s">
        <v>145</v>
      </c>
      <c r="G65" s="12">
        <v>1</v>
      </c>
      <c r="H65" t="s">
        <v>54</v>
      </c>
      <c r="I65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2</v>
      </c>
      <c r="F66" s="2" t="s">
        <v>145</v>
      </c>
      <c r="G66" s="12">
        <v>1</v>
      </c>
      <c r="H66" t="s">
        <v>65</v>
      </c>
      <c r="I66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0</v>
      </c>
      <c r="F67" s="2" t="s">
        <v>145</v>
      </c>
      <c r="G67" s="12">
        <v>2</v>
      </c>
      <c r="H67" t="s">
        <v>59</v>
      </c>
      <c r="I67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1</v>
      </c>
      <c r="F68" s="2" t="s">
        <v>145</v>
      </c>
      <c r="G68" s="12">
        <v>0</v>
      </c>
      <c r="H68" t="s">
        <v>88</v>
      </c>
      <c r="I68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1</v>
      </c>
      <c r="F69" s="2" t="s">
        <v>145</v>
      </c>
      <c r="G69" s="12">
        <v>2</v>
      </c>
      <c r="H69" t="s">
        <v>85</v>
      </c>
      <c r="I69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1</v>
      </c>
      <c r="F70" s="2" t="s">
        <v>145</v>
      </c>
      <c r="G70" s="12">
        <v>2</v>
      </c>
      <c r="H70" t="s">
        <v>82</v>
      </c>
      <c r="I70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2</v>
      </c>
      <c r="F71" s="2" t="s">
        <v>145</v>
      </c>
      <c r="G71" s="12">
        <v>0</v>
      </c>
      <c r="H71" t="s">
        <v>91</v>
      </c>
      <c r="I71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1</v>
      </c>
      <c r="F72" s="2" t="s">
        <v>145</v>
      </c>
      <c r="G72" s="12">
        <v>0</v>
      </c>
      <c r="H72" t="s">
        <v>78</v>
      </c>
      <c r="I72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0</v>
      </c>
      <c r="F73" s="2" t="s">
        <v>145</v>
      </c>
      <c r="G73" s="12">
        <v>2</v>
      </c>
      <c r="H73" t="s">
        <v>75</v>
      </c>
      <c r="I73" s="2">
        <f>IF(OR(Tabela_3339[[#This Row],[Placar Mandante]]="",Tabela_3339[[#This Row],[Placar Visitante]]="",Tabela_3[[#This Row],[Placar Mandante]]="",Tabela_3[[#This Row],[Placar Visitante]]=""),0,
IF(AND(Tabela_3339[[#This Row],[Placar Mandante]]=Tabela_3[[#This Row],[Placar Mandante]],Tabela_3339[[#This Row],[Placar Visitante]]=Tabela_3[[#This Row],[Placar Visitante]]),3,
IF(SIGN(Tabela_3339[[#This Row],[Placar Mandante]]-Tabela_3339[[#This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C000-6BB6-4FA1-9FAB-98D1381B011F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6640625" style="11" hidden="1" customWidth="1"/>
    <col min="2" max="2" width="10.33203125" style="11" bestFit="1" customWidth="1"/>
    <col min="3" max="3" width="9.44140625" style="11" bestFit="1" customWidth="1"/>
    <col min="4" max="4" width="18.33203125" style="11" bestFit="1" customWidth="1"/>
    <col min="5" max="5" width="18.33203125" style="11" customWidth="1"/>
    <col min="6" max="6" width="4.109375" style="12" bestFit="1" customWidth="1"/>
    <col min="7" max="7" width="18.33203125" style="11" customWidth="1"/>
    <col min="8" max="8" width="18.33203125" style="11" bestFit="1" customWidth="1"/>
    <col min="9" max="9" width="8.88671875" style="11"/>
    <col min="10" max="10" width="11.6640625" style="11" customWidth="1"/>
    <col min="11" max="11" width="10.3320312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1</v>
      </c>
      <c r="H2" t="s">
        <v>7</v>
      </c>
      <c r="I2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  <c r="J2" s="13"/>
      <c r="K2" s="3">
        <f>SUM(Tabela_33429[Pontuação])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2</v>
      </c>
      <c r="F3" s="12" t="s">
        <v>145</v>
      </c>
      <c r="G3" s="12">
        <v>0</v>
      </c>
      <c r="H3" t="s">
        <v>12</v>
      </c>
      <c r="I3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0</v>
      </c>
      <c r="F4" s="12" t="s">
        <v>145</v>
      </c>
      <c r="G4" s="12">
        <v>1</v>
      </c>
      <c r="H4" t="s">
        <v>16</v>
      </c>
      <c r="I4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3</v>
      </c>
      <c r="F5" s="12" t="s">
        <v>145</v>
      </c>
      <c r="G5" s="12">
        <v>1</v>
      </c>
      <c r="H5" t="s">
        <v>20</v>
      </c>
      <c r="I5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1</v>
      </c>
      <c r="F6" s="12" t="s">
        <v>145</v>
      </c>
      <c r="G6" s="12">
        <v>2</v>
      </c>
      <c r="H6" t="s">
        <v>24</v>
      </c>
      <c r="I6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0</v>
      </c>
      <c r="H7" t="s">
        <v>28</v>
      </c>
      <c r="I7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3</v>
      </c>
      <c r="H8" t="s">
        <v>32</v>
      </c>
      <c r="I8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1</v>
      </c>
      <c r="H9" t="s">
        <v>35</v>
      </c>
      <c r="I9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4</v>
      </c>
      <c r="F10" s="12" t="s">
        <v>145</v>
      </c>
      <c r="G10" s="12">
        <v>0</v>
      </c>
      <c r="H10" t="s">
        <v>40</v>
      </c>
      <c r="I10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1</v>
      </c>
      <c r="F11" s="12" t="s">
        <v>145</v>
      </c>
      <c r="G11" s="12">
        <v>3</v>
      </c>
      <c r="H11" t="s">
        <v>44</v>
      </c>
      <c r="I11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2</v>
      </c>
      <c r="H12" t="s">
        <v>48</v>
      </c>
      <c r="I12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2</v>
      </c>
      <c r="F13" s="12" t="s">
        <v>145</v>
      </c>
      <c r="G13" s="12">
        <v>0</v>
      </c>
      <c r="H13" t="s">
        <v>52</v>
      </c>
      <c r="I13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0</v>
      </c>
      <c r="H14" t="s">
        <v>55</v>
      </c>
      <c r="I14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0</v>
      </c>
      <c r="H15" t="s">
        <v>60</v>
      </c>
      <c r="I15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1</v>
      </c>
      <c r="F16" s="12" t="s">
        <v>145</v>
      </c>
      <c r="G16" s="12">
        <v>1</v>
      </c>
      <c r="H16" t="s">
        <v>63</v>
      </c>
      <c r="I16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0</v>
      </c>
      <c r="F17" s="12" t="s">
        <v>145</v>
      </c>
      <c r="G17" s="12">
        <v>0</v>
      </c>
      <c r="H17" t="s">
        <v>66</v>
      </c>
      <c r="I17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4</v>
      </c>
      <c r="F18" s="12" t="s">
        <v>145</v>
      </c>
      <c r="G18" s="12">
        <v>0</v>
      </c>
      <c r="H18" t="s">
        <v>69</v>
      </c>
      <c r="I18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2</v>
      </c>
      <c r="H19" t="s">
        <v>73</v>
      </c>
      <c r="I19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0</v>
      </c>
      <c r="H20" t="s">
        <v>76</v>
      </c>
      <c r="I20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0</v>
      </c>
      <c r="F21" s="12" t="s">
        <v>145</v>
      </c>
      <c r="G21" s="12">
        <v>0</v>
      </c>
      <c r="H21" t="s">
        <v>79</v>
      </c>
      <c r="I21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2</v>
      </c>
      <c r="F22" s="12" t="s">
        <v>145</v>
      </c>
      <c r="G22" s="12">
        <v>0</v>
      </c>
      <c r="H22" t="s">
        <v>83</v>
      </c>
      <c r="I22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1</v>
      </c>
      <c r="H23" t="s">
        <v>86</v>
      </c>
      <c r="I23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0</v>
      </c>
      <c r="F24" s="12" t="s">
        <v>145</v>
      </c>
      <c r="G24" s="12">
        <v>0</v>
      </c>
      <c r="H24" t="s">
        <v>89</v>
      </c>
      <c r="I24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1</v>
      </c>
      <c r="H25" t="s">
        <v>92</v>
      </c>
      <c r="I25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2</v>
      </c>
      <c r="H26" t="s">
        <v>7</v>
      </c>
      <c r="I26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1</v>
      </c>
      <c r="F27" s="12" t="s">
        <v>145</v>
      </c>
      <c r="G27" s="12">
        <v>0</v>
      </c>
      <c r="H27" t="s">
        <v>16</v>
      </c>
      <c r="I27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1</v>
      </c>
      <c r="F28" s="12" t="s">
        <v>145</v>
      </c>
      <c r="G28" s="12">
        <v>1</v>
      </c>
      <c r="H28" t="s">
        <v>23</v>
      </c>
      <c r="I28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1</v>
      </c>
      <c r="F30" s="12" t="s">
        <v>145</v>
      </c>
      <c r="G30" s="12">
        <v>1</v>
      </c>
      <c r="H30" t="s">
        <v>34</v>
      </c>
      <c r="I30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2</v>
      </c>
      <c r="F31" s="12" t="s">
        <v>145</v>
      </c>
      <c r="G31" s="12">
        <v>2</v>
      </c>
      <c r="H31" t="s">
        <v>28</v>
      </c>
      <c r="I31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3</v>
      </c>
      <c r="F32" s="12" t="s">
        <v>145</v>
      </c>
      <c r="G32" s="12">
        <v>0</v>
      </c>
      <c r="H32" t="s">
        <v>31</v>
      </c>
      <c r="I32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2</v>
      </c>
      <c r="H33" t="s">
        <v>20</v>
      </c>
      <c r="I33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1</v>
      </c>
      <c r="F34" s="12" t="s">
        <v>145</v>
      </c>
      <c r="G34" s="12">
        <v>2</v>
      </c>
      <c r="H34" t="s">
        <v>51</v>
      </c>
      <c r="I34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3</v>
      </c>
      <c r="F35" s="12" t="s">
        <v>145</v>
      </c>
      <c r="G35" s="12">
        <v>1</v>
      </c>
      <c r="H35" t="s">
        <v>47</v>
      </c>
      <c r="I35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1</v>
      </c>
      <c r="F36" s="12" t="s">
        <v>145</v>
      </c>
      <c r="G36" s="12">
        <v>0</v>
      </c>
      <c r="H36" t="s">
        <v>40</v>
      </c>
      <c r="I36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0</v>
      </c>
      <c r="F37" s="12" t="s">
        <v>145</v>
      </c>
      <c r="G37" s="12">
        <v>2</v>
      </c>
      <c r="H37" t="s">
        <v>44</v>
      </c>
      <c r="I37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1</v>
      </c>
      <c r="H38" t="s">
        <v>62</v>
      </c>
      <c r="I38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0</v>
      </c>
      <c r="H39" t="s">
        <v>65</v>
      </c>
      <c r="I39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1</v>
      </c>
      <c r="F40" s="12" t="s">
        <v>145</v>
      </c>
      <c r="G40" s="12">
        <v>0</v>
      </c>
      <c r="H40" t="s">
        <v>55</v>
      </c>
      <c r="I40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1</v>
      </c>
      <c r="F41" s="12" t="s">
        <v>145</v>
      </c>
      <c r="G41" s="12">
        <v>1</v>
      </c>
      <c r="H41" t="s">
        <v>60</v>
      </c>
      <c r="I41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0</v>
      </c>
      <c r="H42" t="s">
        <v>78</v>
      </c>
      <c r="I42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2</v>
      </c>
      <c r="F43" s="12" t="s">
        <v>145</v>
      </c>
      <c r="G43" s="12">
        <v>0</v>
      </c>
      <c r="H43" t="s">
        <v>72</v>
      </c>
      <c r="I43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0</v>
      </c>
      <c r="H44" t="s">
        <v>69</v>
      </c>
      <c r="I44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1</v>
      </c>
      <c r="H45" t="s">
        <v>76</v>
      </c>
      <c r="I45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2</v>
      </c>
      <c r="F46" s="12" t="s">
        <v>145</v>
      </c>
      <c r="G46" s="12">
        <v>0</v>
      </c>
      <c r="H46" t="s">
        <v>91</v>
      </c>
      <c r="I46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0</v>
      </c>
      <c r="H47" t="s">
        <v>88</v>
      </c>
      <c r="I47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3</v>
      </c>
      <c r="F49" s="12" t="s">
        <v>145</v>
      </c>
      <c r="G49" s="12">
        <v>0</v>
      </c>
      <c r="H49" t="s">
        <v>83</v>
      </c>
      <c r="I49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2</v>
      </c>
      <c r="F50" s="12" t="s">
        <v>145</v>
      </c>
      <c r="G50" s="12">
        <v>1</v>
      </c>
      <c r="H50" t="s">
        <v>23</v>
      </c>
      <c r="I50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2</v>
      </c>
      <c r="F51" s="12" t="s">
        <v>145</v>
      </c>
      <c r="G51" s="12">
        <v>2</v>
      </c>
      <c r="H51" t="s">
        <v>15</v>
      </c>
      <c r="I51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2</v>
      </c>
      <c r="H52" t="s">
        <v>27</v>
      </c>
      <c r="I52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2</v>
      </c>
      <c r="F53" s="12" t="s">
        <v>145</v>
      </c>
      <c r="G53" s="12">
        <v>0</v>
      </c>
      <c r="H53" t="s">
        <v>31</v>
      </c>
      <c r="I53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2</v>
      </c>
      <c r="H54" t="s">
        <v>11</v>
      </c>
      <c r="I54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2</v>
      </c>
      <c r="H55" t="s">
        <v>6</v>
      </c>
      <c r="I55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1</v>
      </c>
      <c r="H56" t="s">
        <v>47</v>
      </c>
      <c r="I56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0</v>
      </c>
      <c r="F57" s="12" t="s">
        <v>145</v>
      </c>
      <c r="G57" s="12">
        <v>3</v>
      </c>
      <c r="H57" t="s">
        <v>39</v>
      </c>
      <c r="I57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2</v>
      </c>
      <c r="H58" t="s">
        <v>51</v>
      </c>
      <c r="I58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1</v>
      </c>
      <c r="H59" t="s">
        <v>43</v>
      </c>
      <c r="I59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0</v>
      </c>
      <c r="H60" t="s">
        <v>34</v>
      </c>
      <c r="I60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0</v>
      </c>
      <c r="F61" s="12" t="s">
        <v>145</v>
      </c>
      <c r="G61" s="12">
        <v>1</v>
      </c>
      <c r="H61" t="s">
        <v>19</v>
      </c>
      <c r="I61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2</v>
      </c>
      <c r="H62" t="s">
        <v>68</v>
      </c>
      <c r="I62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1</v>
      </c>
      <c r="F63" s="12" t="s">
        <v>145</v>
      </c>
      <c r="G63" s="12">
        <v>1</v>
      </c>
      <c r="H63" t="s">
        <v>72</v>
      </c>
      <c r="I63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1</v>
      </c>
      <c r="H64" t="s">
        <v>62</v>
      </c>
      <c r="I64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2</v>
      </c>
      <c r="H65" t="s">
        <v>54</v>
      </c>
      <c r="I65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0</v>
      </c>
      <c r="F66" s="12" t="s">
        <v>145</v>
      </c>
      <c r="G66" s="12">
        <v>0</v>
      </c>
      <c r="H66" t="s">
        <v>65</v>
      </c>
      <c r="I66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1</v>
      </c>
      <c r="F67" s="12" t="s">
        <v>145</v>
      </c>
      <c r="G67" s="12">
        <v>2</v>
      </c>
      <c r="H67" t="s">
        <v>59</v>
      </c>
      <c r="I67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0</v>
      </c>
      <c r="H68" t="s">
        <v>88</v>
      </c>
      <c r="I68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2</v>
      </c>
      <c r="H70" t="s">
        <v>82</v>
      </c>
      <c r="I70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1</v>
      </c>
      <c r="H71" t="s">
        <v>91</v>
      </c>
      <c r="I71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2</v>
      </c>
      <c r="H73" t="s">
        <v>75</v>
      </c>
      <c r="I73" s="12">
        <f>IF(OR(Tabela_33429[[#This Row],[Placar Mandante]]="",Tabela_33429[[#This Row],[Placar Visitante]]="",Tabela_3[[#This Row],[Placar Mandante]]="",Tabela_3[[#This Row],[Placar Visitante]]=""),0,
IF(AND(Tabela_33429[[#This Row],[Placar Mandante]]=Tabela_3[[#This Row],[Placar Mandante]],Tabela_33429[[#This Row],[Placar Visitante]]=Tabela_3[[#This Row],[Placar Visitante]]),3,
IF(SIGN(Tabela_33429[[#This Row],[Placar Mandante]]-Tabela_33429[[#This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9E9B-92CA-4FE0-9A74-EA65E6518419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6640625" style="11" hidden="1" customWidth="1"/>
    <col min="2" max="2" width="10.33203125" style="11" bestFit="1" customWidth="1"/>
    <col min="3" max="3" width="9.44140625" style="11" bestFit="1" customWidth="1"/>
    <col min="4" max="4" width="18.33203125" style="11" bestFit="1" customWidth="1"/>
    <col min="5" max="5" width="18.33203125" style="11" customWidth="1"/>
    <col min="6" max="6" width="4.109375" style="12" bestFit="1" customWidth="1"/>
    <col min="7" max="7" width="18.33203125" style="11" customWidth="1"/>
    <col min="8" max="8" width="18.33203125" style="11" bestFit="1" customWidth="1"/>
    <col min="9" max="9" width="8.88671875" style="11"/>
    <col min="10" max="10" width="9.109375" style="11" customWidth="1"/>
    <col min="11" max="11" width="10.3320312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1</v>
      </c>
      <c r="H2" t="s">
        <v>7</v>
      </c>
      <c r="I2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  <c r="J2" s="13"/>
      <c r="K2" s="3">
        <f>SUM(Tabela_33419[Pontuação])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2</v>
      </c>
      <c r="F3" s="12" t="s">
        <v>145</v>
      </c>
      <c r="G3" s="12">
        <v>1</v>
      </c>
      <c r="H3" t="s">
        <v>12</v>
      </c>
      <c r="I3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0</v>
      </c>
      <c r="H4" t="s">
        <v>16</v>
      </c>
      <c r="I4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3</v>
      </c>
      <c r="F5" s="12" t="s">
        <v>145</v>
      </c>
      <c r="G5" s="12">
        <v>1</v>
      </c>
      <c r="H5" t="s">
        <v>20</v>
      </c>
      <c r="I5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4</v>
      </c>
      <c r="F6" s="12" t="s">
        <v>145</v>
      </c>
      <c r="G6" s="12">
        <v>0</v>
      </c>
      <c r="H6" t="s">
        <v>24</v>
      </c>
      <c r="I6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3</v>
      </c>
      <c r="F7" s="12" t="s">
        <v>145</v>
      </c>
      <c r="G7" s="12">
        <v>0</v>
      </c>
      <c r="H7" t="s">
        <v>28</v>
      </c>
      <c r="I7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1</v>
      </c>
      <c r="F8" s="12" t="s">
        <v>145</v>
      </c>
      <c r="G8" s="12">
        <v>2</v>
      </c>
      <c r="H8" t="s">
        <v>32</v>
      </c>
      <c r="I8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2</v>
      </c>
      <c r="F9" s="12" t="s">
        <v>145</v>
      </c>
      <c r="G9" s="12">
        <v>2</v>
      </c>
      <c r="H9" t="s">
        <v>35</v>
      </c>
      <c r="I9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0</v>
      </c>
      <c r="F10" s="12" t="s">
        <v>145</v>
      </c>
      <c r="G10" s="12">
        <v>1</v>
      </c>
      <c r="H10" t="s">
        <v>40</v>
      </c>
      <c r="I10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1</v>
      </c>
      <c r="F11" s="12" t="s">
        <v>145</v>
      </c>
      <c r="G11" s="12">
        <v>2</v>
      </c>
      <c r="H11" t="s">
        <v>44</v>
      </c>
      <c r="I11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0</v>
      </c>
      <c r="F12" s="12" t="s">
        <v>145</v>
      </c>
      <c r="G12" s="12">
        <v>1</v>
      </c>
      <c r="H12" t="s">
        <v>48</v>
      </c>
      <c r="I12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0</v>
      </c>
      <c r="F13" s="12" t="s">
        <v>145</v>
      </c>
      <c r="G13" s="12">
        <v>1</v>
      </c>
      <c r="H13" t="s">
        <v>52</v>
      </c>
      <c r="I13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2</v>
      </c>
      <c r="H14" t="s">
        <v>55</v>
      </c>
      <c r="I14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0</v>
      </c>
      <c r="F15" s="12" t="s">
        <v>145</v>
      </c>
      <c r="G15" s="12">
        <v>1</v>
      </c>
      <c r="H15" t="s">
        <v>60</v>
      </c>
      <c r="I15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1</v>
      </c>
      <c r="H16" t="s">
        <v>63</v>
      </c>
      <c r="I16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2</v>
      </c>
      <c r="F17" s="12" t="s">
        <v>145</v>
      </c>
      <c r="G17" s="12">
        <v>3</v>
      </c>
      <c r="H17" t="s">
        <v>66</v>
      </c>
      <c r="I17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1</v>
      </c>
      <c r="H18" t="s">
        <v>69</v>
      </c>
      <c r="I18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1</v>
      </c>
      <c r="F19" s="12" t="s">
        <v>145</v>
      </c>
      <c r="G19" s="12">
        <v>1</v>
      </c>
      <c r="H19" t="s">
        <v>73</v>
      </c>
      <c r="I19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1</v>
      </c>
      <c r="H20" t="s">
        <v>76</v>
      </c>
      <c r="I20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4</v>
      </c>
      <c r="F21" s="12" t="s">
        <v>145</v>
      </c>
      <c r="G21" s="12">
        <v>2</v>
      </c>
      <c r="H21" t="s">
        <v>79</v>
      </c>
      <c r="I21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0</v>
      </c>
      <c r="F22" s="12" t="s">
        <v>145</v>
      </c>
      <c r="G22" s="12">
        <v>1</v>
      </c>
      <c r="H22" t="s">
        <v>83</v>
      </c>
      <c r="I22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1</v>
      </c>
      <c r="F23" s="12" t="s">
        <v>145</v>
      </c>
      <c r="G23" s="12">
        <v>2</v>
      </c>
      <c r="H23" t="s">
        <v>86</v>
      </c>
      <c r="I23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3</v>
      </c>
      <c r="F24" s="12" t="s">
        <v>145</v>
      </c>
      <c r="G24" s="12">
        <v>0</v>
      </c>
      <c r="H24" t="s">
        <v>89</v>
      </c>
      <c r="I24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1</v>
      </c>
      <c r="F25" s="12" t="s">
        <v>145</v>
      </c>
      <c r="G25" s="12">
        <v>0</v>
      </c>
      <c r="H25" t="s">
        <v>92</v>
      </c>
      <c r="I25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1</v>
      </c>
      <c r="F26" s="12" t="s">
        <v>145</v>
      </c>
      <c r="G26" s="12">
        <v>0</v>
      </c>
      <c r="H26" t="s">
        <v>7</v>
      </c>
      <c r="I26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1</v>
      </c>
      <c r="H27" t="s">
        <v>16</v>
      </c>
      <c r="I27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1</v>
      </c>
      <c r="F28" s="12" t="s">
        <v>145</v>
      </c>
      <c r="G28" s="12">
        <v>2</v>
      </c>
      <c r="H28" t="s">
        <v>23</v>
      </c>
      <c r="I28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3</v>
      </c>
      <c r="H29" t="s">
        <v>11</v>
      </c>
      <c r="I29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3</v>
      </c>
      <c r="F30" s="12" t="s">
        <v>145</v>
      </c>
      <c r="G30" s="12">
        <v>1</v>
      </c>
      <c r="H30" t="s">
        <v>34</v>
      </c>
      <c r="I30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0</v>
      </c>
      <c r="F31" s="12" t="s">
        <v>145</v>
      </c>
      <c r="G31" s="12">
        <v>2</v>
      </c>
      <c r="H31" t="s">
        <v>28</v>
      </c>
      <c r="I31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1</v>
      </c>
      <c r="H32" t="s">
        <v>31</v>
      </c>
      <c r="I32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0</v>
      </c>
      <c r="F33" s="12" t="s">
        <v>145</v>
      </c>
      <c r="G33" s="12">
        <v>2</v>
      </c>
      <c r="H33" t="s">
        <v>20</v>
      </c>
      <c r="I33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1</v>
      </c>
      <c r="F34" s="12" t="s">
        <v>145</v>
      </c>
      <c r="G34" s="12">
        <v>2</v>
      </c>
      <c r="H34" t="s">
        <v>51</v>
      </c>
      <c r="I34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3</v>
      </c>
      <c r="F35" s="12" t="s">
        <v>145</v>
      </c>
      <c r="G35" s="12">
        <v>0</v>
      </c>
      <c r="H35" t="s">
        <v>47</v>
      </c>
      <c r="I35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1</v>
      </c>
      <c r="F36" s="12" t="s">
        <v>145</v>
      </c>
      <c r="G36" s="12">
        <v>0</v>
      </c>
      <c r="H36" t="s">
        <v>40</v>
      </c>
      <c r="I36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1</v>
      </c>
      <c r="H37" t="s">
        <v>44</v>
      </c>
      <c r="I37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2</v>
      </c>
      <c r="H38" t="s">
        <v>62</v>
      </c>
      <c r="I38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0</v>
      </c>
      <c r="F39" s="12" t="s">
        <v>145</v>
      </c>
      <c r="G39" s="12">
        <v>1</v>
      </c>
      <c r="H39" t="s">
        <v>65</v>
      </c>
      <c r="I39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2</v>
      </c>
      <c r="F40" s="12" t="s">
        <v>145</v>
      </c>
      <c r="G40" s="12">
        <v>1</v>
      </c>
      <c r="H40" t="s">
        <v>55</v>
      </c>
      <c r="I40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3</v>
      </c>
      <c r="H41" t="s">
        <v>60</v>
      </c>
      <c r="I41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1</v>
      </c>
      <c r="F42" s="12" t="s">
        <v>145</v>
      </c>
      <c r="G42" s="12">
        <v>1</v>
      </c>
      <c r="H42" t="s">
        <v>78</v>
      </c>
      <c r="I42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1</v>
      </c>
      <c r="F43" s="12" t="s">
        <v>145</v>
      </c>
      <c r="G43" s="12">
        <v>2</v>
      </c>
      <c r="H43" t="s">
        <v>72</v>
      </c>
      <c r="I43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2</v>
      </c>
      <c r="F44" s="12" t="s">
        <v>145</v>
      </c>
      <c r="G44" s="12">
        <v>0</v>
      </c>
      <c r="H44" t="s">
        <v>69</v>
      </c>
      <c r="I44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1</v>
      </c>
      <c r="H45" t="s">
        <v>76</v>
      </c>
      <c r="I45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2</v>
      </c>
      <c r="F46" s="12" t="s">
        <v>145</v>
      </c>
      <c r="G46" s="12">
        <v>1</v>
      </c>
      <c r="H46" t="s">
        <v>91</v>
      </c>
      <c r="I46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0</v>
      </c>
      <c r="F47" s="12" t="s">
        <v>145</v>
      </c>
      <c r="G47" s="12">
        <v>2</v>
      </c>
      <c r="H47" t="s">
        <v>88</v>
      </c>
      <c r="I47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1</v>
      </c>
      <c r="H48" t="s">
        <v>86</v>
      </c>
      <c r="I48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3</v>
      </c>
      <c r="F49" s="12" t="s">
        <v>145</v>
      </c>
      <c r="G49" s="12">
        <v>2</v>
      </c>
      <c r="H49" t="s">
        <v>83</v>
      </c>
      <c r="I49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0</v>
      </c>
      <c r="F50" s="12" t="s">
        <v>145</v>
      </c>
      <c r="G50" s="12">
        <v>1</v>
      </c>
      <c r="H50" t="s">
        <v>23</v>
      </c>
      <c r="I50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1</v>
      </c>
      <c r="H51" t="s">
        <v>15</v>
      </c>
      <c r="I51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2</v>
      </c>
      <c r="F52" s="12" t="s">
        <v>145</v>
      </c>
      <c r="G52" s="12">
        <v>3</v>
      </c>
      <c r="H52" t="s">
        <v>27</v>
      </c>
      <c r="I52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0</v>
      </c>
      <c r="F53" s="12" t="s">
        <v>145</v>
      </c>
      <c r="G53" s="12">
        <v>2</v>
      </c>
      <c r="H53" t="s">
        <v>31</v>
      </c>
      <c r="I53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1</v>
      </c>
      <c r="H54" t="s">
        <v>11</v>
      </c>
      <c r="I54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2</v>
      </c>
      <c r="H55" t="s">
        <v>6</v>
      </c>
      <c r="I55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2</v>
      </c>
      <c r="H56" t="s">
        <v>47</v>
      </c>
      <c r="I56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3</v>
      </c>
      <c r="H57" t="s">
        <v>39</v>
      </c>
      <c r="I57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1</v>
      </c>
      <c r="H58" t="s">
        <v>51</v>
      </c>
      <c r="I58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0</v>
      </c>
      <c r="H59" t="s">
        <v>43</v>
      </c>
      <c r="I59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0</v>
      </c>
      <c r="F60" s="12" t="s">
        <v>145</v>
      </c>
      <c r="G60" s="12">
        <v>2</v>
      </c>
      <c r="H60" t="s">
        <v>34</v>
      </c>
      <c r="I60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0</v>
      </c>
      <c r="F61" s="12" t="s">
        <v>145</v>
      </c>
      <c r="G61" s="12">
        <v>3</v>
      </c>
      <c r="H61" t="s">
        <v>19</v>
      </c>
      <c r="I61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2</v>
      </c>
      <c r="F62" s="12" t="s">
        <v>145</v>
      </c>
      <c r="G62" s="12">
        <v>2</v>
      </c>
      <c r="H62" t="s">
        <v>68</v>
      </c>
      <c r="I62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1</v>
      </c>
      <c r="H63" t="s">
        <v>72</v>
      </c>
      <c r="I63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2</v>
      </c>
      <c r="H64" t="s">
        <v>62</v>
      </c>
      <c r="I64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0</v>
      </c>
      <c r="F65" s="12" t="s">
        <v>145</v>
      </c>
      <c r="G65" s="12">
        <v>1</v>
      </c>
      <c r="H65" t="s">
        <v>54</v>
      </c>
      <c r="I65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2</v>
      </c>
      <c r="F66" s="12" t="s">
        <v>145</v>
      </c>
      <c r="G66" s="12">
        <v>1</v>
      </c>
      <c r="H66" t="s">
        <v>65</v>
      </c>
      <c r="I66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0</v>
      </c>
      <c r="H67" t="s">
        <v>59</v>
      </c>
      <c r="I67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1</v>
      </c>
      <c r="F68" s="12" t="s">
        <v>145</v>
      </c>
      <c r="G68" s="12">
        <v>0</v>
      </c>
      <c r="H68" t="s">
        <v>88</v>
      </c>
      <c r="I68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1</v>
      </c>
      <c r="F69" s="12" t="s">
        <v>145</v>
      </c>
      <c r="G69" s="12">
        <v>1</v>
      </c>
      <c r="H69" t="s">
        <v>85</v>
      </c>
      <c r="I69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2</v>
      </c>
      <c r="H70" t="s">
        <v>82</v>
      </c>
      <c r="I70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0</v>
      </c>
      <c r="H71" t="s">
        <v>91</v>
      </c>
      <c r="I71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0</v>
      </c>
      <c r="F72" s="12" t="s">
        <v>145</v>
      </c>
      <c r="G72" s="12">
        <v>0</v>
      </c>
      <c r="H72" t="s">
        <v>78</v>
      </c>
      <c r="I72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1</v>
      </c>
      <c r="H73" t="s">
        <v>75</v>
      </c>
      <c r="I73" s="12">
        <f>IF(OR(Tabela_33419[[#This Row],[Placar Mandante]]="",Tabela_33419[[#This Row],[Placar Visitante]]="",Tabela_3[[#This Row],[Placar Mandante]]="",Tabela_3[[#This Row],[Placar Visitante]]=""),0,
IF(AND(Tabela_33419[[#This Row],[Placar Mandante]]=Tabela_3[[#This Row],[Placar Mandante]],Tabela_33419[[#This Row],[Placar Visitante]]=Tabela_3[[#This Row],[Placar Visitante]]),3,
IF(SIGN(Tabela_33419[[#This Row],[Placar Mandante]]-Tabela_33419[[#This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C2859-C887-4013-91C3-FA5C91B58EDC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6.7773437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1</v>
      </c>
      <c r="F2" s="12" t="s">
        <v>145</v>
      </c>
      <c r="G2" s="12">
        <v>0</v>
      </c>
      <c r="H2" t="s">
        <v>7</v>
      </c>
      <c r="I2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  <c r="J2" s="13"/>
      <c r="K2" s="3">
        <f>SUM(Tabela_33465[Pontuação])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2</v>
      </c>
      <c r="H3" t="s">
        <v>12</v>
      </c>
      <c r="I3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1</v>
      </c>
      <c r="H4" t="s">
        <v>16</v>
      </c>
      <c r="I4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1</v>
      </c>
      <c r="H5" t="s">
        <v>20</v>
      </c>
      <c r="I5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1</v>
      </c>
      <c r="H7" t="s">
        <v>28</v>
      </c>
      <c r="I7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3</v>
      </c>
      <c r="H8" t="s">
        <v>32</v>
      </c>
      <c r="I8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0</v>
      </c>
      <c r="F9" s="12" t="s">
        <v>145</v>
      </c>
      <c r="G9" s="12">
        <v>2</v>
      </c>
      <c r="H9" t="s">
        <v>35</v>
      </c>
      <c r="I9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5</v>
      </c>
      <c r="F10" s="12" t="s">
        <v>145</v>
      </c>
      <c r="G10" s="12">
        <v>0</v>
      </c>
      <c r="H10" t="s">
        <v>40</v>
      </c>
      <c r="I10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1</v>
      </c>
      <c r="F11" s="12" t="s">
        <v>145</v>
      </c>
      <c r="G11" s="12">
        <v>2</v>
      </c>
      <c r="H11" t="s">
        <v>44</v>
      </c>
      <c r="I11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2</v>
      </c>
      <c r="F12" s="12" t="s">
        <v>145</v>
      </c>
      <c r="G12" s="12">
        <v>2</v>
      </c>
      <c r="H12" t="s">
        <v>48</v>
      </c>
      <c r="I12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1</v>
      </c>
      <c r="H13" t="s">
        <v>52</v>
      </c>
      <c r="I13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5</v>
      </c>
      <c r="F14" s="12" t="s">
        <v>145</v>
      </c>
      <c r="G14" s="12">
        <v>0</v>
      </c>
      <c r="H14" t="s">
        <v>55</v>
      </c>
      <c r="I14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1</v>
      </c>
      <c r="H15" t="s">
        <v>60</v>
      </c>
      <c r="I15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1</v>
      </c>
      <c r="F16" s="12" t="s">
        <v>145</v>
      </c>
      <c r="G16" s="12">
        <v>2</v>
      </c>
      <c r="H16" t="s">
        <v>63</v>
      </c>
      <c r="I16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2</v>
      </c>
      <c r="F17" s="12" t="s">
        <v>145</v>
      </c>
      <c r="G17" s="12">
        <v>1</v>
      </c>
      <c r="H17" t="s">
        <v>66</v>
      </c>
      <c r="I17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3</v>
      </c>
      <c r="F18" s="12" t="s">
        <v>145</v>
      </c>
      <c r="G18" s="12">
        <v>1</v>
      </c>
      <c r="H18" t="s">
        <v>69</v>
      </c>
      <c r="I18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2</v>
      </c>
      <c r="H19" t="s">
        <v>73</v>
      </c>
      <c r="I19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2</v>
      </c>
      <c r="F20" s="12" t="s">
        <v>145</v>
      </c>
      <c r="G20" s="12">
        <v>0</v>
      </c>
      <c r="H20" t="s">
        <v>76</v>
      </c>
      <c r="I20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1</v>
      </c>
      <c r="H21" t="s">
        <v>79</v>
      </c>
      <c r="I21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4</v>
      </c>
      <c r="F22" s="12" t="s">
        <v>145</v>
      </c>
      <c r="G22" s="12">
        <v>0</v>
      </c>
      <c r="H22" t="s">
        <v>83</v>
      </c>
      <c r="I22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3</v>
      </c>
      <c r="F23" s="12" t="s">
        <v>145</v>
      </c>
      <c r="G23" s="12">
        <v>2</v>
      </c>
      <c r="H23" t="s">
        <v>86</v>
      </c>
      <c r="I23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1</v>
      </c>
      <c r="H24" t="s">
        <v>89</v>
      </c>
      <c r="I24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3</v>
      </c>
      <c r="H25" t="s">
        <v>92</v>
      </c>
      <c r="I25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1</v>
      </c>
      <c r="H26" t="s">
        <v>7</v>
      </c>
      <c r="I26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0</v>
      </c>
      <c r="H27" t="s">
        <v>16</v>
      </c>
      <c r="I27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1</v>
      </c>
      <c r="F28" s="12" t="s">
        <v>145</v>
      </c>
      <c r="G28" s="12">
        <v>2</v>
      </c>
      <c r="H28" t="s">
        <v>23</v>
      </c>
      <c r="I28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2</v>
      </c>
      <c r="H29" t="s">
        <v>11</v>
      </c>
      <c r="I29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0</v>
      </c>
      <c r="H30" t="s">
        <v>34</v>
      </c>
      <c r="I30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2</v>
      </c>
      <c r="H31" t="s">
        <v>28</v>
      </c>
      <c r="I31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0</v>
      </c>
      <c r="H32" t="s">
        <v>31</v>
      </c>
      <c r="I32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2</v>
      </c>
      <c r="H33" t="s">
        <v>20</v>
      </c>
      <c r="I33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1</v>
      </c>
      <c r="F34" s="12" t="s">
        <v>145</v>
      </c>
      <c r="G34" s="12">
        <v>2</v>
      </c>
      <c r="H34" t="s">
        <v>51</v>
      </c>
      <c r="I34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1</v>
      </c>
      <c r="H35" t="s">
        <v>47</v>
      </c>
      <c r="I35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0</v>
      </c>
      <c r="H36" t="s">
        <v>40</v>
      </c>
      <c r="I36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2</v>
      </c>
      <c r="H37" t="s">
        <v>44</v>
      </c>
      <c r="I37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1</v>
      </c>
      <c r="H38" t="s">
        <v>62</v>
      </c>
      <c r="I38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3</v>
      </c>
      <c r="F39" s="12" t="s">
        <v>145</v>
      </c>
      <c r="G39" s="12">
        <v>1</v>
      </c>
      <c r="H39" t="s">
        <v>65</v>
      </c>
      <c r="I39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2</v>
      </c>
      <c r="F40" s="12" t="s">
        <v>145</v>
      </c>
      <c r="G40" s="12">
        <v>1</v>
      </c>
      <c r="H40" t="s">
        <v>55</v>
      </c>
      <c r="I40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1</v>
      </c>
      <c r="F41" s="12" t="s">
        <v>145</v>
      </c>
      <c r="G41" s="12">
        <v>2</v>
      </c>
      <c r="H41" t="s">
        <v>60</v>
      </c>
      <c r="I41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3</v>
      </c>
      <c r="F42" s="12" t="s">
        <v>145</v>
      </c>
      <c r="G42" s="12">
        <v>1</v>
      </c>
      <c r="H42" t="s">
        <v>78</v>
      </c>
      <c r="I42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4</v>
      </c>
      <c r="F43" s="12" t="s">
        <v>145</v>
      </c>
      <c r="G43" s="12">
        <v>0</v>
      </c>
      <c r="H43" t="s">
        <v>72</v>
      </c>
      <c r="I43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2</v>
      </c>
      <c r="F44" s="12" t="s">
        <v>145</v>
      </c>
      <c r="G44" s="12">
        <v>1</v>
      </c>
      <c r="H44" t="s">
        <v>69</v>
      </c>
      <c r="I44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2</v>
      </c>
      <c r="H45" t="s">
        <v>76</v>
      </c>
      <c r="I45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0</v>
      </c>
      <c r="H46" t="s">
        <v>91</v>
      </c>
      <c r="I46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3</v>
      </c>
      <c r="F47" s="12" t="s">
        <v>145</v>
      </c>
      <c r="G47" s="12">
        <v>0</v>
      </c>
      <c r="H47" t="s">
        <v>88</v>
      </c>
      <c r="I47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1</v>
      </c>
      <c r="F48" s="12" t="s">
        <v>145</v>
      </c>
      <c r="G48" s="12">
        <v>3</v>
      </c>
      <c r="H48" t="s">
        <v>86</v>
      </c>
      <c r="I48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3</v>
      </c>
      <c r="F49" s="12" t="s">
        <v>145</v>
      </c>
      <c r="G49" s="12">
        <v>1</v>
      </c>
      <c r="H49" t="s">
        <v>83</v>
      </c>
      <c r="I49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2</v>
      </c>
      <c r="H50" t="s">
        <v>23</v>
      </c>
      <c r="I50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2</v>
      </c>
      <c r="F51" s="12" t="s">
        <v>145</v>
      </c>
      <c r="G51" s="12">
        <v>1</v>
      </c>
      <c r="H51" t="s">
        <v>15</v>
      </c>
      <c r="I51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2</v>
      </c>
      <c r="H52" t="s">
        <v>27</v>
      </c>
      <c r="I52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0</v>
      </c>
      <c r="H53" t="s">
        <v>31</v>
      </c>
      <c r="I53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2</v>
      </c>
      <c r="H54" t="s">
        <v>11</v>
      </c>
      <c r="I54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2</v>
      </c>
      <c r="H55" t="s">
        <v>6</v>
      </c>
      <c r="I55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3</v>
      </c>
      <c r="H56" t="s">
        <v>47</v>
      </c>
      <c r="I56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2</v>
      </c>
      <c r="F57" s="12" t="s">
        <v>145</v>
      </c>
      <c r="G57" s="12">
        <v>1</v>
      </c>
      <c r="H57" t="s">
        <v>39</v>
      </c>
      <c r="I57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2</v>
      </c>
      <c r="H58" t="s">
        <v>51</v>
      </c>
      <c r="I58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0</v>
      </c>
      <c r="H59" t="s">
        <v>43</v>
      </c>
      <c r="I59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0</v>
      </c>
      <c r="H60" t="s">
        <v>34</v>
      </c>
      <c r="I60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2</v>
      </c>
      <c r="F61" s="12" t="s">
        <v>145</v>
      </c>
      <c r="G61" s="12">
        <v>2</v>
      </c>
      <c r="H61" t="s">
        <v>19</v>
      </c>
      <c r="I61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3</v>
      </c>
      <c r="H62" t="s">
        <v>68</v>
      </c>
      <c r="I62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3</v>
      </c>
      <c r="F63" s="12" t="s">
        <v>145</v>
      </c>
      <c r="G63" s="12">
        <v>1</v>
      </c>
      <c r="H63" t="s">
        <v>72</v>
      </c>
      <c r="I63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3</v>
      </c>
      <c r="H64" t="s">
        <v>62</v>
      </c>
      <c r="I64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3</v>
      </c>
      <c r="H65" t="s">
        <v>54</v>
      </c>
      <c r="I65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2</v>
      </c>
      <c r="F66" s="12" t="s">
        <v>145</v>
      </c>
      <c r="G66" s="12">
        <v>0</v>
      </c>
      <c r="H66" t="s">
        <v>65</v>
      </c>
      <c r="I66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2</v>
      </c>
      <c r="H67" t="s">
        <v>59</v>
      </c>
      <c r="I67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1</v>
      </c>
      <c r="H68" t="s">
        <v>88</v>
      </c>
      <c r="I68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2</v>
      </c>
      <c r="F70" s="12" t="s">
        <v>145</v>
      </c>
      <c r="G70" s="12">
        <v>2</v>
      </c>
      <c r="H70" t="s">
        <v>82</v>
      </c>
      <c r="I70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0</v>
      </c>
      <c r="F71" s="12" t="s">
        <v>145</v>
      </c>
      <c r="G71" s="12">
        <v>2</v>
      </c>
      <c r="H71" t="s">
        <v>91</v>
      </c>
      <c r="I71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2</v>
      </c>
      <c r="H72" t="s">
        <v>78</v>
      </c>
      <c r="I72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IF(OR(Tabela_33465[[#This Row],[Placar Mandante]]="",Tabela_33465[[#This Row],[Placar Visitante]]="",Tabela_3[[#This Row],[Placar Mandante]]="",Tabela_3[[#This Row],[Placar Visitante]]=""),0,
IF(AND(Tabela_33465[[#This Row],[Placar Mandante]]=Tabela_3[[#This Row],[Placar Mandante]],Tabela_33465[[#This Row],[Placar Visitante]]=Tabela_3[[#This Row],[Placar Visitante]]),3,
IF(SIGN(Tabela_33465[[#This Row],[Placar Mandante]]-Tabela_33465[[#This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364F-3FD0-480F-9A0E-89A2AB7A2E5A}">
  <sheetPr codeName="Planilha12"/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2</v>
      </c>
      <c r="F2" s="2" t="s">
        <v>145</v>
      </c>
      <c r="G2" s="12">
        <v>0</v>
      </c>
      <c r="H2" t="s">
        <v>7</v>
      </c>
      <c r="I2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  <c r="K2" s="3">
        <f>SUM(Tabela_3340[Pontuação])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1</v>
      </c>
      <c r="F3" s="2" t="s">
        <v>145</v>
      </c>
      <c r="G3" s="12">
        <v>0</v>
      </c>
      <c r="H3" t="s">
        <v>12</v>
      </c>
      <c r="I3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1</v>
      </c>
      <c r="F4" s="2" t="s">
        <v>145</v>
      </c>
      <c r="G4" s="12">
        <v>1</v>
      </c>
      <c r="H4" t="s">
        <v>16</v>
      </c>
      <c r="I4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1</v>
      </c>
      <c r="F5" s="2" t="s">
        <v>145</v>
      </c>
      <c r="G5" s="12">
        <v>0</v>
      </c>
      <c r="H5" t="s">
        <v>20</v>
      </c>
      <c r="I5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2</v>
      </c>
      <c r="H6" t="s">
        <v>24</v>
      </c>
      <c r="I6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2</v>
      </c>
      <c r="F7" s="2" t="s">
        <v>145</v>
      </c>
      <c r="G7" s="12">
        <v>1</v>
      </c>
      <c r="H7" t="s">
        <v>28</v>
      </c>
      <c r="I7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0</v>
      </c>
      <c r="F8" s="2" t="s">
        <v>145</v>
      </c>
      <c r="G8" s="12">
        <v>1</v>
      </c>
      <c r="H8" t="s">
        <v>32</v>
      </c>
      <c r="I8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0</v>
      </c>
      <c r="F9" s="2" t="s">
        <v>145</v>
      </c>
      <c r="G9" s="12">
        <v>1</v>
      </c>
      <c r="H9" t="s">
        <v>35</v>
      </c>
      <c r="I9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4</v>
      </c>
      <c r="F10" s="2" t="s">
        <v>145</v>
      </c>
      <c r="G10" s="12">
        <v>0</v>
      </c>
      <c r="H10" t="s">
        <v>40</v>
      </c>
      <c r="I10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2</v>
      </c>
      <c r="F11" s="2" t="s">
        <v>145</v>
      </c>
      <c r="G11" s="12">
        <v>1</v>
      </c>
      <c r="H11" t="s">
        <v>44</v>
      </c>
      <c r="I11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1</v>
      </c>
      <c r="F12" s="2" t="s">
        <v>145</v>
      </c>
      <c r="G12" s="12">
        <v>2</v>
      </c>
      <c r="H12" t="s">
        <v>48</v>
      </c>
      <c r="I12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2</v>
      </c>
      <c r="F13" s="2" t="s">
        <v>145</v>
      </c>
      <c r="G13" s="12">
        <v>1</v>
      </c>
      <c r="H13" t="s">
        <v>52</v>
      </c>
      <c r="I13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3</v>
      </c>
      <c r="F14" s="2" t="s">
        <v>145</v>
      </c>
      <c r="G14" s="12">
        <v>0</v>
      </c>
      <c r="H14" t="s">
        <v>55</v>
      </c>
      <c r="I14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2</v>
      </c>
      <c r="F15" s="2" t="s">
        <v>145</v>
      </c>
      <c r="G15" s="12">
        <v>0</v>
      </c>
      <c r="H15" t="s">
        <v>60</v>
      </c>
      <c r="I15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0</v>
      </c>
      <c r="F16" s="2" t="s">
        <v>145</v>
      </c>
      <c r="G16" s="12">
        <v>3</v>
      </c>
      <c r="H16" t="s">
        <v>63</v>
      </c>
      <c r="I16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1</v>
      </c>
      <c r="F17" s="2" t="s">
        <v>145</v>
      </c>
      <c r="G17" s="12">
        <v>0</v>
      </c>
      <c r="H17" t="s">
        <v>66</v>
      </c>
      <c r="I17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3</v>
      </c>
      <c r="F18" s="2" t="s">
        <v>145</v>
      </c>
      <c r="G18" s="12">
        <v>0</v>
      </c>
      <c r="H18" t="s">
        <v>69</v>
      </c>
      <c r="I18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0</v>
      </c>
      <c r="F19" s="2" t="s">
        <v>145</v>
      </c>
      <c r="G19" s="12">
        <v>2</v>
      </c>
      <c r="H19" t="s">
        <v>73</v>
      </c>
      <c r="I19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3</v>
      </c>
      <c r="F20" s="2" t="s">
        <v>145</v>
      </c>
      <c r="G20" s="12">
        <v>0</v>
      </c>
      <c r="H20" t="s">
        <v>76</v>
      </c>
      <c r="I20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3</v>
      </c>
      <c r="F21" s="2" t="s">
        <v>145</v>
      </c>
      <c r="G21" s="12">
        <v>1</v>
      </c>
      <c r="H21" t="s">
        <v>79</v>
      </c>
      <c r="I21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4</v>
      </c>
      <c r="F22" s="2" t="s">
        <v>145</v>
      </c>
      <c r="G22" s="12">
        <v>1</v>
      </c>
      <c r="H22" t="s">
        <v>83</v>
      </c>
      <c r="I22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2</v>
      </c>
      <c r="F23" s="2" t="s">
        <v>145</v>
      </c>
      <c r="G23" s="12">
        <v>1</v>
      </c>
      <c r="H23" t="s">
        <v>86</v>
      </c>
      <c r="I23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2</v>
      </c>
      <c r="F24" s="2" t="s">
        <v>145</v>
      </c>
      <c r="G24" s="12">
        <v>1</v>
      </c>
      <c r="H24" t="s">
        <v>89</v>
      </c>
      <c r="I24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2</v>
      </c>
      <c r="H25" t="s">
        <v>92</v>
      </c>
      <c r="I25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1</v>
      </c>
      <c r="F26" s="2" t="s">
        <v>145</v>
      </c>
      <c r="G26" s="12">
        <v>1</v>
      </c>
      <c r="H26" t="s">
        <v>7</v>
      </c>
      <c r="I26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2</v>
      </c>
      <c r="F27" s="2" t="s">
        <v>145</v>
      </c>
      <c r="G27" s="12">
        <v>0</v>
      </c>
      <c r="H27" t="s">
        <v>16</v>
      </c>
      <c r="I27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2</v>
      </c>
      <c r="F28" s="2" t="s">
        <v>145</v>
      </c>
      <c r="G28" s="12">
        <v>1</v>
      </c>
      <c r="H28" t="s">
        <v>23</v>
      </c>
      <c r="I28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2</v>
      </c>
      <c r="F29" s="2" t="s">
        <v>145</v>
      </c>
      <c r="G29" s="12">
        <v>1</v>
      </c>
      <c r="H29" t="s">
        <v>11</v>
      </c>
      <c r="I29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1</v>
      </c>
      <c r="F30" s="2" t="s">
        <v>145</v>
      </c>
      <c r="G30" s="12">
        <v>0</v>
      </c>
      <c r="H30" t="s">
        <v>34</v>
      </c>
      <c r="I30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0</v>
      </c>
      <c r="F31" s="2" t="s">
        <v>145</v>
      </c>
      <c r="G31" s="12">
        <v>1</v>
      </c>
      <c r="H31" t="s">
        <v>28</v>
      </c>
      <c r="I31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5</v>
      </c>
      <c r="F32" s="2" t="s">
        <v>145</v>
      </c>
      <c r="G32" s="12">
        <v>0</v>
      </c>
      <c r="H32" t="s">
        <v>31</v>
      </c>
      <c r="I32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2</v>
      </c>
      <c r="F33" s="2" t="s">
        <v>145</v>
      </c>
      <c r="G33" s="12">
        <v>1</v>
      </c>
      <c r="H33" t="s">
        <v>20</v>
      </c>
      <c r="I33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2</v>
      </c>
      <c r="F34" s="2" t="s">
        <v>145</v>
      </c>
      <c r="G34" s="12">
        <v>1</v>
      </c>
      <c r="H34" t="s">
        <v>51</v>
      </c>
      <c r="I34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3</v>
      </c>
      <c r="F35" s="2" t="s">
        <v>145</v>
      </c>
      <c r="G35" s="12">
        <v>0</v>
      </c>
      <c r="H35" t="s">
        <v>47</v>
      </c>
      <c r="I35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3</v>
      </c>
      <c r="F36" s="2" t="s">
        <v>145</v>
      </c>
      <c r="G36" s="12">
        <v>1</v>
      </c>
      <c r="H36" t="s">
        <v>40</v>
      </c>
      <c r="I36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1</v>
      </c>
      <c r="F37" s="2" t="s">
        <v>145</v>
      </c>
      <c r="G37" s="12">
        <v>2</v>
      </c>
      <c r="H37" t="s">
        <v>44</v>
      </c>
      <c r="I37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4</v>
      </c>
      <c r="F38" s="2" t="s">
        <v>145</v>
      </c>
      <c r="G38" s="12">
        <v>0</v>
      </c>
      <c r="H38" t="s">
        <v>62</v>
      </c>
      <c r="I38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2</v>
      </c>
      <c r="F39" s="2" t="s">
        <v>145</v>
      </c>
      <c r="G39" s="12">
        <v>0</v>
      </c>
      <c r="H39" t="s">
        <v>65</v>
      </c>
      <c r="I39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3</v>
      </c>
      <c r="F40" s="2" t="s">
        <v>145</v>
      </c>
      <c r="G40" s="12">
        <v>0</v>
      </c>
      <c r="H40" t="s">
        <v>55</v>
      </c>
      <c r="I40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0</v>
      </c>
      <c r="F41" s="2" t="s">
        <v>145</v>
      </c>
      <c r="G41" s="12">
        <v>1</v>
      </c>
      <c r="H41" t="s">
        <v>60</v>
      </c>
      <c r="I41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2</v>
      </c>
      <c r="F42" s="2" t="s">
        <v>145</v>
      </c>
      <c r="G42" s="12">
        <v>1</v>
      </c>
      <c r="H42" t="s">
        <v>78</v>
      </c>
      <c r="I42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4</v>
      </c>
      <c r="F43" s="2" t="s">
        <v>145</v>
      </c>
      <c r="G43" s="12">
        <v>0</v>
      </c>
      <c r="H43" t="s">
        <v>72</v>
      </c>
      <c r="I43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2</v>
      </c>
      <c r="F44" s="2" t="s">
        <v>145</v>
      </c>
      <c r="G44" s="12">
        <v>1</v>
      </c>
      <c r="H44" t="s">
        <v>69</v>
      </c>
      <c r="I44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0</v>
      </c>
      <c r="F45" s="2" t="s">
        <v>145</v>
      </c>
      <c r="G45" s="12">
        <v>1</v>
      </c>
      <c r="H45" t="s">
        <v>76</v>
      </c>
      <c r="I45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3</v>
      </c>
      <c r="F46" s="2" t="s">
        <v>145</v>
      </c>
      <c r="G46" s="12">
        <v>0</v>
      </c>
      <c r="H46" t="s">
        <v>91</v>
      </c>
      <c r="I46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2</v>
      </c>
      <c r="F47" s="2" t="s">
        <v>145</v>
      </c>
      <c r="G47" s="12">
        <v>0</v>
      </c>
      <c r="H47" t="s">
        <v>88</v>
      </c>
      <c r="I47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1</v>
      </c>
      <c r="F48" s="2" t="s">
        <v>145</v>
      </c>
      <c r="G48" s="12">
        <v>2</v>
      </c>
      <c r="H48" t="s">
        <v>86</v>
      </c>
      <c r="I48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2</v>
      </c>
      <c r="F49" s="2" t="s">
        <v>145</v>
      </c>
      <c r="G49" s="12">
        <v>0</v>
      </c>
      <c r="H49" t="s">
        <v>83</v>
      </c>
      <c r="I49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1</v>
      </c>
      <c r="F50" s="2" t="s">
        <v>145</v>
      </c>
      <c r="G50" s="12">
        <v>1</v>
      </c>
      <c r="H50" t="s">
        <v>23</v>
      </c>
      <c r="I50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2</v>
      </c>
      <c r="F51" s="2" t="s">
        <v>145</v>
      </c>
      <c r="G51" s="12">
        <v>1</v>
      </c>
      <c r="H51" t="s">
        <v>15</v>
      </c>
      <c r="I51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1</v>
      </c>
      <c r="F52" s="2" t="s">
        <v>145</v>
      </c>
      <c r="G52" s="12">
        <v>3</v>
      </c>
      <c r="H52" t="s">
        <v>27</v>
      </c>
      <c r="I52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2</v>
      </c>
      <c r="F53" s="2" t="s">
        <v>145</v>
      </c>
      <c r="G53" s="12">
        <v>0</v>
      </c>
      <c r="H53" t="s">
        <v>31</v>
      </c>
      <c r="I53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1</v>
      </c>
      <c r="F54" s="2" t="s">
        <v>145</v>
      </c>
      <c r="G54" s="12">
        <v>2</v>
      </c>
      <c r="H54" t="s">
        <v>11</v>
      </c>
      <c r="I54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1</v>
      </c>
      <c r="F55" s="2" t="s">
        <v>145</v>
      </c>
      <c r="G55" s="12">
        <v>1</v>
      </c>
      <c r="H55" t="s">
        <v>6</v>
      </c>
      <c r="I55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0</v>
      </c>
      <c r="F56" s="2" t="s">
        <v>145</v>
      </c>
      <c r="G56" s="12">
        <v>3</v>
      </c>
      <c r="H56" t="s">
        <v>47</v>
      </c>
      <c r="I56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1</v>
      </c>
      <c r="F57" s="2" t="s">
        <v>145</v>
      </c>
      <c r="G57" s="12">
        <v>2</v>
      </c>
      <c r="H57" t="s">
        <v>39</v>
      </c>
      <c r="I57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1</v>
      </c>
      <c r="F58" s="2" t="s">
        <v>145</v>
      </c>
      <c r="G58" s="12">
        <v>0</v>
      </c>
      <c r="H58" t="s">
        <v>51</v>
      </c>
      <c r="I58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1</v>
      </c>
      <c r="F59" s="2" t="s">
        <v>145</v>
      </c>
      <c r="G59" s="12">
        <v>2</v>
      </c>
      <c r="H59" t="s">
        <v>43</v>
      </c>
      <c r="I59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1</v>
      </c>
      <c r="F60" s="2" t="s">
        <v>145</v>
      </c>
      <c r="G60" s="12">
        <v>1</v>
      </c>
      <c r="H60" t="s">
        <v>34</v>
      </c>
      <c r="I60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1</v>
      </c>
      <c r="F61" s="2" t="s">
        <v>145</v>
      </c>
      <c r="G61" s="12">
        <v>1</v>
      </c>
      <c r="H61" t="s">
        <v>19</v>
      </c>
      <c r="I61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1</v>
      </c>
      <c r="F62" s="2" t="s">
        <v>145</v>
      </c>
      <c r="G62" s="12">
        <v>2</v>
      </c>
      <c r="H62" t="s">
        <v>68</v>
      </c>
      <c r="I62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2</v>
      </c>
      <c r="F63" s="2" t="s">
        <v>145</v>
      </c>
      <c r="G63" s="12">
        <v>0</v>
      </c>
      <c r="H63" t="s">
        <v>72</v>
      </c>
      <c r="I63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0</v>
      </c>
      <c r="F64" s="2" t="s">
        <v>145</v>
      </c>
      <c r="G64" s="12">
        <v>1</v>
      </c>
      <c r="H64" t="s">
        <v>62</v>
      </c>
      <c r="I64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1</v>
      </c>
      <c r="F65" s="2" t="s">
        <v>145</v>
      </c>
      <c r="G65" s="12">
        <v>2</v>
      </c>
      <c r="H65" t="s">
        <v>54</v>
      </c>
      <c r="I65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1</v>
      </c>
      <c r="F66" s="2" t="s">
        <v>145</v>
      </c>
      <c r="G66" s="12">
        <v>0</v>
      </c>
      <c r="H66" t="s">
        <v>65</v>
      </c>
      <c r="I66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0</v>
      </c>
      <c r="F67" s="2" t="s">
        <v>145</v>
      </c>
      <c r="G67" s="12">
        <v>2</v>
      </c>
      <c r="H67" t="s">
        <v>59</v>
      </c>
      <c r="I67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2</v>
      </c>
      <c r="F68" s="2" t="s">
        <v>145</v>
      </c>
      <c r="G68" s="12">
        <v>1</v>
      </c>
      <c r="H68" t="s">
        <v>88</v>
      </c>
      <c r="I68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0</v>
      </c>
      <c r="F69" s="2" t="s">
        <v>145</v>
      </c>
      <c r="G69" s="12">
        <v>2</v>
      </c>
      <c r="H69" t="s">
        <v>85</v>
      </c>
      <c r="I69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1</v>
      </c>
      <c r="F70" s="2" t="s">
        <v>145</v>
      </c>
      <c r="G70" s="12">
        <v>2</v>
      </c>
      <c r="H70" t="s">
        <v>82</v>
      </c>
      <c r="I70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1</v>
      </c>
      <c r="F71" s="2" t="s">
        <v>145</v>
      </c>
      <c r="G71" s="12">
        <v>0</v>
      </c>
      <c r="H71" t="s">
        <v>91</v>
      </c>
      <c r="I71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1</v>
      </c>
      <c r="F72" s="2" t="s">
        <v>145</v>
      </c>
      <c r="G72" s="12">
        <v>2</v>
      </c>
      <c r="H72" t="s">
        <v>78</v>
      </c>
      <c r="I72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0</v>
      </c>
      <c r="F73" s="2" t="s">
        <v>145</v>
      </c>
      <c r="G73" s="12">
        <v>4</v>
      </c>
      <c r="H73" t="s">
        <v>75</v>
      </c>
      <c r="I73" s="2">
        <f>IF(OR(Tabela_3340[[#This Row],[Placar Mandante]]="",Tabela_3340[[#This Row],[Placar Visitante]]="",Tabela_3[[#This Row],[Placar Mandante]]="",Tabela_3[[#This Row],[Placar Visitante]]=""),0,
IF(AND(Tabela_3340[[#This Row],[Placar Mandante]]=Tabela_3[[#This Row],[Placar Mandante]],Tabela_3340[[#This Row],[Placar Visitante]]=Tabela_3[[#This Row],[Placar Visitante]]),3,
IF(SIGN(Tabela_3340[[#This Row],[Placar Mandante]]-Tabela_3340[[#This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EF9A-4F81-4FB8-84CA-F1F508C9ABAD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6640625" style="11" hidden="1" customWidth="1"/>
    <col min="2" max="2" width="10.33203125" style="11" bestFit="1" customWidth="1"/>
    <col min="3" max="3" width="9.44140625" style="11" bestFit="1" customWidth="1"/>
    <col min="4" max="4" width="18.33203125" style="11" bestFit="1" customWidth="1"/>
    <col min="5" max="5" width="18.33203125" style="11" customWidth="1"/>
    <col min="6" max="6" width="4.109375" style="12" bestFit="1" customWidth="1"/>
    <col min="7" max="7" width="18.33203125" style="11" customWidth="1"/>
    <col min="8" max="8" width="18.33203125" style="11" bestFit="1" customWidth="1"/>
    <col min="9" max="9" width="8.88671875" style="11"/>
    <col min="10" max="10" width="11.33203125" style="11" customWidth="1"/>
    <col min="11" max="11" width="10.3320312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1</v>
      </c>
      <c r="H2" t="s">
        <v>7</v>
      </c>
      <c r="I2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  <c r="J2" s="13"/>
      <c r="K2" s="3">
        <f>SUM(Tabela_33420[Pontuação])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0</v>
      </c>
      <c r="H3" t="s">
        <v>12</v>
      </c>
      <c r="I3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1</v>
      </c>
      <c r="H4" t="s">
        <v>16</v>
      </c>
      <c r="I4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0</v>
      </c>
      <c r="F5" s="12" t="s">
        <v>145</v>
      </c>
      <c r="G5" s="12">
        <v>1</v>
      </c>
      <c r="H5" t="s">
        <v>20</v>
      </c>
      <c r="I5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1</v>
      </c>
      <c r="F6" s="12" t="s">
        <v>145</v>
      </c>
      <c r="G6" s="12">
        <v>2</v>
      </c>
      <c r="H6" t="s">
        <v>24</v>
      </c>
      <c r="I6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1</v>
      </c>
      <c r="H7" t="s">
        <v>28</v>
      </c>
      <c r="I7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0</v>
      </c>
      <c r="H8" t="s">
        <v>32</v>
      </c>
      <c r="I8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0</v>
      </c>
      <c r="F9" s="12" t="s">
        <v>145</v>
      </c>
      <c r="G9" s="12">
        <v>2</v>
      </c>
      <c r="H9" t="s">
        <v>35</v>
      </c>
      <c r="I9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2</v>
      </c>
      <c r="F10" s="12" t="s">
        <v>145</v>
      </c>
      <c r="G10" s="12">
        <v>0</v>
      </c>
      <c r="H10" t="s">
        <v>40</v>
      </c>
      <c r="I10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0</v>
      </c>
      <c r="F11" s="12" t="s">
        <v>145</v>
      </c>
      <c r="G11" s="12">
        <v>1</v>
      </c>
      <c r="H11" t="s">
        <v>44</v>
      </c>
      <c r="I11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0</v>
      </c>
      <c r="F12" s="12" t="s">
        <v>145</v>
      </c>
      <c r="G12" s="12">
        <v>1</v>
      </c>
      <c r="H12" t="s">
        <v>48</v>
      </c>
      <c r="I12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1</v>
      </c>
      <c r="H13" t="s">
        <v>52</v>
      </c>
      <c r="I13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0</v>
      </c>
      <c r="H14" t="s">
        <v>55</v>
      </c>
      <c r="I14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1</v>
      </c>
      <c r="H15" t="s">
        <v>60</v>
      </c>
      <c r="I15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1</v>
      </c>
      <c r="F16" s="12" t="s">
        <v>145</v>
      </c>
      <c r="G16" s="12">
        <v>3</v>
      </c>
      <c r="H16" t="s">
        <v>63</v>
      </c>
      <c r="I16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0</v>
      </c>
      <c r="F17" s="12" t="s">
        <v>145</v>
      </c>
      <c r="G17" s="12">
        <v>0</v>
      </c>
      <c r="H17" t="s">
        <v>66</v>
      </c>
      <c r="I17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3</v>
      </c>
      <c r="F18" s="12" t="s">
        <v>145</v>
      </c>
      <c r="G18" s="12">
        <v>1</v>
      </c>
      <c r="H18" t="s">
        <v>69</v>
      </c>
      <c r="I18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1</v>
      </c>
      <c r="F19" s="12" t="s">
        <v>145</v>
      </c>
      <c r="G19" s="12">
        <v>2</v>
      </c>
      <c r="H19" t="s">
        <v>73</v>
      </c>
      <c r="I19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4</v>
      </c>
      <c r="F20" s="12" t="s">
        <v>145</v>
      </c>
      <c r="G20" s="12">
        <v>1</v>
      </c>
      <c r="H20" t="s">
        <v>76</v>
      </c>
      <c r="I20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1</v>
      </c>
      <c r="F21" s="12" t="s">
        <v>145</v>
      </c>
      <c r="G21" s="12">
        <v>1</v>
      </c>
      <c r="H21" t="s">
        <v>79</v>
      </c>
      <c r="I21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4</v>
      </c>
      <c r="F22" s="12" t="s">
        <v>145</v>
      </c>
      <c r="G22" s="12">
        <v>1</v>
      </c>
      <c r="H22" t="s">
        <v>83</v>
      </c>
      <c r="I22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0</v>
      </c>
      <c r="H23" t="s">
        <v>86</v>
      </c>
      <c r="I23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1</v>
      </c>
      <c r="F24" s="12" t="s">
        <v>145</v>
      </c>
      <c r="G24" s="12">
        <v>0</v>
      </c>
      <c r="H24" t="s">
        <v>89</v>
      </c>
      <c r="I24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0</v>
      </c>
      <c r="F26" s="12" t="s">
        <v>145</v>
      </c>
      <c r="G26" s="12">
        <v>1</v>
      </c>
      <c r="H26" t="s">
        <v>7</v>
      </c>
      <c r="I26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3</v>
      </c>
      <c r="F27" s="12" t="s">
        <v>145</v>
      </c>
      <c r="G27" s="12">
        <v>1</v>
      </c>
      <c r="H27" t="s">
        <v>16</v>
      </c>
      <c r="I27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1</v>
      </c>
      <c r="F28" s="12" t="s">
        <v>145</v>
      </c>
      <c r="G28" s="12">
        <v>1</v>
      </c>
      <c r="H28" t="s">
        <v>23</v>
      </c>
      <c r="I28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1</v>
      </c>
      <c r="F29" s="12" t="s">
        <v>145</v>
      </c>
      <c r="G29" s="12">
        <v>0</v>
      </c>
      <c r="H29" t="s">
        <v>11</v>
      </c>
      <c r="I29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1</v>
      </c>
      <c r="F30" s="12" t="s">
        <v>145</v>
      </c>
      <c r="G30" s="12">
        <v>0</v>
      </c>
      <c r="H30" t="s">
        <v>34</v>
      </c>
      <c r="I30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0</v>
      </c>
      <c r="F31" s="12" t="s">
        <v>145</v>
      </c>
      <c r="G31" s="12">
        <v>2</v>
      </c>
      <c r="H31" t="s">
        <v>28</v>
      </c>
      <c r="I31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3</v>
      </c>
      <c r="F32" s="12" t="s">
        <v>145</v>
      </c>
      <c r="G32" s="12">
        <v>0</v>
      </c>
      <c r="H32" t="s">
        <v>31</v>
      </c>
      <c r="I32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0</v>
      </c>
      <c r="H33" t="s">
        <v>20</v>
      </c>
      <c r="I33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0</v>
      </c>
      <c r="F34" s="12" t="s">
        <v>145</v>
      </c>
      <c r="G34" s="12">
        <v>1</v>
      </c>
      <c r="H34" t="s">
        <v>51</v>
      </c>
      <c r="I34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0</v>
      </c>
      <c r="H35" t="s">
        <v>47</v>
      </c>
      <c r="I35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1</v>
      </c>
      <c r="F36" s="12" t="s">
        <v>145</v>
      </c>
      <c r="G36" s="12">
        <v>0</v>
      </c>
      <c r="H36" t="s">
        <v>40</v>
      </c>
      <c r="I36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2</v>
      </c>
      <c r="F37" s="12" t="s">
        <v>145</v>
      </c>
      <c r="G37" s="12">
        <v>1</v>
      </c>
      <c r="H37" t="s">
        <v>44</v>
      </c>
      <c r="I37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2</v>
      </c>
      <c r="H38" t="s">
        <v>62</v>
      </c>
      <c r="I38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1</v>
      </c>
      <c r="H39" t="s">
        <v>65</v>
      </c>
      <c r="I39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0</v>
      </c>
      <c r="H40" t="s">
        <v>55</v>
      </c>
      <c r="I40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1</v>
      </c>
      <c r="H41" t="s">
        <v>60</v>
      </c>
      <c r="I41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3</v>
      </c>
      <c r="F42" s="12" t="s">
        <v>145</v>
      </c>
      <c r="G42" s="12">
        <v>0</v>
      </c>
      <c r="H42" t="s">
        <v>78</v>
      </c>
      <c r="I42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2</v>
      </c>
      <c r="F43" s="12" t="s">
        <v>145</v>
      </c>
      <c r="G43" s="12">
        <v>1</v>
      </c>
      <c r="H43" t="s">
        <v>72</v>
      </c>
      <c r="I43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1</v>
      </c>
      <c r="H44" t="s">
        <v>69</v>
      </c>
      <c r="I44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2</v>
      </c>
      <c r="H45" t="s">
        <v>76</v>
      </c>
      <c r="I45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4</v>
      </c>
      <c r="F46" s="12" t="s">
        <v>145</v>
      </c>
      <c r="G46" s="12">
        <v>1</v>
      </c>
      <c r="H46" t="s">
        <v>91</v>
      </c>
      <c r="I46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1</v>
      </c>
      <c r="H47" t="s">
        <v>88</v>
      </c>
      <c r="I47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3</v>
      </c>
      <c r="F49" s="12" t="s">
        <v>145</v>
      </c>
      <c r="G49" s="12">
        <v>0</v>
      </c>
      <c r="H49" t="s">
        <v>83</v>
      </c>
      <c r="I49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0</v>
      </c>
      <c r="F50" s="12" t="s">
        <v>145</v>
      </c>
      <c r="G50" s="12">
        <v>1</v>
      </c>
      <c r="H50" t="s">
        <v>23</v>
      </c>
      <c r="I50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0</v>
      </c>
      <c r="H51" t="s">
        <v>15</v>
      </c>
      <c r="I51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3</v>
      </c>
      <c r="H52" t="s">
        <v>27</v>
      </c>
      <c r="I52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2</v>
      </c>
      <c r="F53" s="12" t="s">
        <v>145</v>
      </c>
      <c r="G53" s="12">
        <v>0</v>
      </c>
      <c r="H53" t="s">
        <v>31</v>
      </c>
      <c r="I53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2</v>
      </c>
      <c r="F54" s="12" t="s">
        <v>145</v>
      </c>
      <c r="G54" s="12">
        <v>1</v>
      </c>
      <c r="H54" t="s">
        <v>11</v>
      </c>
      <c r="I54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2</v>
      </c>
      <c r="H55" t="s">
        <v>6</v>
      </c>
      <c r="I55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1</v>
      </c>
      <c r="F56" s="12" t="s">
        <v>145</v>
      </c>
      <c r="G56" s="12">
        <v>3</v>
      </c>
      <c r="H56" t="s">
        <v>47</v>
      </c>
      <c r="I56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2</v>
      </c>
      <c r="H57" t="s">
        <v>39</v>
      </c>
      <c r="I57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2</v>
      </c>
      <c r="H58" t="s">
        <v>51</v>
      </c>
      <c r="I58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0</v>
      </c>
      <c r="H59" t="s">
        <v>43</v>
      </c>
      <c r="I59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1</v>
      </c>
      <c r="H60" t="s">
        <v>34</v>
      </c>
      <c r="I60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2</v>
      </c>
      <c r="F61" s="12" t="s">
        <v>145</v>
      </c>
      <c r="G61" s="12">
        <v>1</v>
      </c>
      <c r="H61" t="s">
        <v>19</v>
      </c>
      <c r="I61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2</v>
      </c>
      <c r="H62" t="s">
        <v>68</v>
      </c>
      <c r="I62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1</v>
      </c>
      <c r="F63" s="12" t="s">
        <v>145</v>
      </c>
      <c r="G63" s="12">
        <v>1</v>
      </c>
      <c r="H63" t="s">
        <v>72</v>
      </c>
      <c r="I63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0</v>
      </c>
      <c r="H64" t="s">
        <v>62</v>
      </c>
      <c r="I64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2</v>
      </c>
      <c r="F65" s="12" t="s">
        <v>145</v>
      </c>
      <c r="G65" s="12">
        <v>0</v>
      </c>
      <c r="H65" t="s">
        <v>54</v>
      </c>
      <c r="I65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2</v>
      </c>
      <c r="F66" s="12" t="s">
        <v>145</v>
      </c>
      <c r="G66" s="12">
        <v>0</v>
      </c>
      <c r="H66" t="s">
        <v>65</v>
      </c>
      <c r="I66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1</v>
      </c>
      <c r="H67" t="s">
        <v>59</v>
      </c>
      <c r="I67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1</v>
      </c>
      <c r="F68" s="12" t="s">
        <v>145</v>
      </c>
      <c r="G68" s="12">
        <v>1</v>
      </c>
      <c r="H68" t="s">
        <v>88</v>
      </c>
      <c r="I68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1</v>
      </c>
      <c r="F69" s="12" t="s">
        <v>145</v>
      </c>
      <c r="G69" s="12">
        <v>3</v>
      </c>
      <c r="H69" t="s">
        <v>85</v>
      </c>
      <c r="I69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2</v>
      </c>
      <c r="H70" t="s">
        <v>82</v>
      </c>
      <c r="I70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2</v>
      </c>
      <c r="H71" t="s">
        <v>91</v>
      </c>
      <c r="I71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1</v>
      </c>
      <c r="F73" s="12" t="s">
        <v>145</v>
      </c>
      <c r="G73" s="12">
        <v>3</v>
      </c>
      <c r="H73" t="s">
        <v>75</v>
      </c>
      <c r="I73" s="12">
        <f>IF(OR(Tabela_33420[[#This Row],[Placar Mandante]]="",Tabela_33420[[#This Row],[Placar Visitante]]="",Tabela_3[[#This Row],[Placar Mandante]]="",Tabela_3[[#This Row],[Placar Visitante]]=""),0,
IF(AND(Tabela_33420[[#This Row],[Placar Mandante]]=Tabela_3[[#This Row],[Placar Mandante]],Tabela_33420[[#This Row],[Placar Visitante]]=Tabela_3[[#This Row],[Placar Visitante]]),3,
IF(SIGN(Tabela_33420[[#This Row],[Placar Mandante]]-Tabela_33420[[#This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DC458-3F8A-42D3-BCE1-940CA90F0F92}">
  <dimension ref="A1:K73"/>
  <sheetViews>
    <sheetView topLeftCell="B1" zoomScaleNormal="100" workbookViewId="0">
      <selection activeCell="H75" sqref="H75"/>
    </sheetView>
  </sheetViews>
  <sheetFormatPr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1.554687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1</v>
      </c>
      <c r="H2" t="s">
        <v>7</v>
      </c>
      <c r="I2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  <c r="J2" s="13"/>
      <c r="K2" s="3">
        <f>SUM(Tabela_33421[Pontuação])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1</v>
      </c>
      <c r="H3" t="s">
        <v>12</v>
      </c>
      <c r="I3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0</v>
      </c>
      <c r="H4" t="s">
        <v>16</v>
      </c>
      <c r="I4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1</v>
      </c>
      <c r="H5" t="s">
        <v>20</v>
      </c>
      <c r="I5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0</v>
      </c>
      <c r="H7" t="s">
        <v>28</v>
      </c>
      <c r="I7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2</v>
      </c>
      <c r="H8" t="s">
        <v>32</v>
      </c>
      <c r="I8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0</v>
      </c>
      <c r="H9" t="s">
        <v>35</v>
      </c>
      <c r="I9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4</v>
      </c>
      <c r="F10" s="12" t="s">
        <v>145</v>
      </c>
      <c r="G10" s="12">
        <v>0</v>
      </c>
      <c r="H10" t="s">
        <v>40</v>
      </c>
      <c r="I10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1</v>
      </c>
      <c r="H11" t="s">
        <v>44</v>
      </c>
      <c r="I11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1</v>
      </c>
      <c r="H12" t="s">
        <v>48</v>
      </c>
      <c r="I12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0</v>
      </c>
      <c r="H13" t="s">
        <v>52</v>
      </c>
      <c r="I13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0</v>
      </c>
      <c r="H14" t="s">
        <v>55</v>
      </c>
      <c r="I14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0</v>
      </c>
      <c r="H15" t="s">
        <v>60</v>
      </c>
      <c r="I15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0</v>
      </c>
      <c r="H17" t="s">
        <v>66</v>
      </c>
      <c r="I17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1</v>
      </c>
      <c r="H18" t="s">
        <v>69</v>
      </c>
      <c r="I18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2</v>
      </c>
      <c r="H19" t="s">
        <v>73</v>
      </c>
      <c r="I19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0</v>
      </c>
      <c r="H20" t="s">
        <v>76</v>
      </c>
      <c r="I20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0</v>
      </c>
      <c r="H21" t="s">
        <v>79</v>
      </c>
      <c r="I21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0</v>
      </c>
      <c r="H22" t="s">
        <v>83</v>
      </c>
      <c r="I22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1</v>
      </c>
      <c r="F23" s="12" t="s">
        <v>145</v>
      </c>
      <c r="G23" s="12">
        <v>1</v>
      </c>
      <c r="H23" t="s">
        <v>86</v>
      </c>
      <c r="I23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1</v>
      </c>
      <c r="H24" t="s">
        <v>89</v>
      </c>
      <c r="I24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1</v>
      </c>
      <c r="H26" t="s">
        <v>7</v>
      </c>
      <c r="I26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1</v>
      </c>
      <c r="F27" s="12" t="s">
        <v>145</v>
      </c>
      <c r="G27" s="12">
        <v>0</v>
      </c>
      <c r="H27" t="s">
        <v>16</v>
      </c>
      <c r="I27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0</v>
      </c>
      <c r="H28" t="s">
        <v>23</v>
      </c>
      <c r="I28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1</v>
      </c>
      <c r="F29" s="12" t="s">
        <v>145</v>
      </c>
      <c r="G29" s="12">
        <v>1</v>
      </c>
      <c r="H29" t="s">
        <v>11</v>
      </c>
      <c r="I29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0</v>
      </c>
      <c r="H30" t="s">
        <v>34</v>
      </c>
      <c r="I30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1</v>
      </c>
      <c r="H31" t="s">
        <v>28</v>
      </c>
      <c r="I31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5</v>
      </c>
      <c r="F32" s="12" t="s">
        <v>145</v>
      </c>
      <c r="G32" s="12">
        <v>0</v>
      </c>
      <c r="H32" t="s">
        <v>31</v>
      </c>
      <c r="I32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0</v>
      </c>
      <c r="H33" t="s">
        <v>20</v>
      </c>
      <c r="I33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1</v>
      </c>
      <c r="F34" s="12" t="s">
        <v>145</v>
      </c>
      <c r="G34" s="12">
        <v>1</v>
      </c>
      <c r="H34" t="s">
        <v>51</v>
      </c>
      <c r="I34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1</v>
      </c>
      <c r="H35" t="s">
        <v>47</v>
      </c>
      <c r="I35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0</v>
      </c>
      <c r="F37" s="12" t="s">
        <v>145</v>
      </c>
      <c r="G37" s="12">
        <v>2</v>
      </c>
      <c r="H37" t="s">
        <v>44</v>
      </c>
      <c r="I37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0</v>
      </c>
      <c r="H38" t="s">
        <v>62</v>
      </c>
      <c r="I38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1</v>
      </c>
      <c r="H39" t="s">
        <v>65</v>
      </c>
      <c r="I39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0</v>
      </c>
      <c r="H40" t="s">
        <v>55</v>
      </c>
      <c r="I40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1</v>
      </c>
      <c r="F41" s="12" t="s">
        <v>145</v>
      </c>
      <c r="G41" s="12">
        <v>1</v>
      </c>
      <c r="H41" t="s">
        <v>60</v>
      </c>
      <c r="I41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0</v>
      </c>
      <c r="H42" t="s">
        <v>78</v>
      </c>
      <c r="I42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1</v>
      </c>
      <c r="H44" t="s">
        <v>69</v>
      </c>
      <c r="I44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2</v>
      </c>
      <c r="H45" t="s">
        <v>76</v>
      </c>
      <c r="I45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2</v>
      </c>
      <c r="F46" s="12" t="s">
        <v>145</v>
      </c>
      <c r="G46" s="12">
        <v>0</v>
      </c>
      <c r="H46" t="s">
        <v>91</v>
      </c>
      <c r="I46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1</v>
      </c>
      <c r="H47" t="s">
        <v>88</v>
      </c>
      <c r="I47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1</v>
      </c>
      <c r="H49" t="s">
        <v>83</v>
      </c>
      <c r="I49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1</v>
      </c>
      <c r="H50" t="s">
        <v>23</v>
      </c>
      <c r="I50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1</v>
      </c>
      <c r="H51" t="s">
        <v>15</v>
      </c>
      <c r="I51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2</v>
      </c>
      <c r="H52" t="s">
        <v>27</v>
      </c>
      <c r="I52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2</v>
      </c>
      <c r="F53" s="12" t="s">
        <v>145</v>
      </c>
      <c r="G53" s="12">
        <v>0</v>
      </c>
      <c r="H53" t="s">
        <v>31</v>
      </c>
      <c r="I53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2</v>
      </c>
      <c r="H54" t="s">
        <v>11</v>
      </c>
      <c r="I54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2</v>
      </c>
      <c r="H55" t="s">
        <v>6</v>
      </c>
      <c r="I55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2</v>
      </c>
      <c r="H56" t="s">
        <v>47</v>
      </c>
      <c r="I56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2</v>
      </c>
      <c r="H57" t="s">
        <v>39</v>
      </c>
      <c r="I57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1</v>
      </c>
      <c r="H58" t="s">
        <v>51</v>
      </c>
      <c r="I58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2</v>
      </c>
      <c r="H59" t="s">
        <v>43</v>
      </c>
      <c r="I59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1</v>
      </c>
      <c r="H60" t="s">
        <v>34</v>
      </c>
      <c r="I60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2</v>
      </c>
      <c r="H61" t="s">
        <v>19</v>
      </c>
      <c r="I61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2</v>
      </c>
      <c r="H62" t="s">
        <v>68</v>
      </c>
      <c r="I62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0</v>
      </c>
      <c r="H63" t="s">
        <v>72</v>
      </c>
      <c r="I63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1</v>
      </c>
      <c r="H64" t="s">
        <v>62</v>
      </c>
      <c r="I64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1</v>
      </c>
      <c r="H65" t="s">
        <v>54</v>
      </c>
      <c r="I65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1</v>
      </c>
      <c r="H66" t="s">
        <v>65</v>
      </c>
      <c r="I66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3</v>
      </c>
      <c r="H67" t="s">
        <v>59</v>
      </c>
      <c r="I67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1</v>
      </c>
      <c r="H68" t="s">
        <v>88</v>
      </c>
      <c r="I68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2</v>
      </c>
      <c r="H70" t="s">
        <v>82</v>
      </c>
      <c r="I70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0</v>
      </c>
      <c r="F71" s="12" t="s">
        <v>145</v>
      </c>
      <c r="G71" s="12">
        <v>1</v>
      </c>
      <c r="H71" t="s">
        <v>91</v>
      </c>
      <c r="I71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1</v>
      </c>
      <c r="F73" s="12" t="s">
        <v>145</v>
      </c>
      <c r="G73" s="12">
        <v>4</v>
      </c>
      <c r="H73" t="s">
        <v>75</v>
      </c>
      <c r="I73" s="12">
        <f>IF(OR(Tabela_33421[[#This Row],[Placar Mandante]]="",Tabela_33421[[#This Row],[Placar Visitante]]="",Tabela_3[[#This Row],[Placar Mandante]]="",Tabela_3[[#This Row],[Placar Visitante]]=""),0,
IF(AND(Tabela_33421[[#This Row],[Placar Mandante]]=Tabela_3[[#This Row],[Placar Mandante]],Tabela_33421[[#This Row],[Placar Visitante]]=Tabela_3[[#This Row],[Placar Visitante]]),3,
IF(SIGN(Tabela_33421[[#This Row],[Placar Mandante]]-Tabela_33421[[#This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AC0B3-E873-4BEA-AC1E-D7D1735CFA03}">
  <sheetPr codeName="Planilha13"/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2</v>
      </c>
      <c r="F2" s="2" t="s">
        <v>145</v>
      </c>
      <c r="G2" s="12">
        <v>0</v>
      </c>
      <c r="H2" t="s">
        <v>7</v>
      </c>
      <c r="I2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  <c r="K2" s="3">
        <f>SUM(Tabela_3341[Pontuação])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0</v>
      </c>
      <c r="F3" s="2" t="s">
        <v>145</v>
      </c>
      <c r="G3" s="12">
        <v>1</v>
      </c>
      <c r="H3" t="s">
        <v>12</v>
      </c>
      <c r="I3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0</v>
      </c>
      <c r="F4" s="2" t="s">
        <v>145</v>
      </c>
      <c r="G4" s="12">
        <v>1</v>
      </c>
      <c r="H4" t="s">
        <v>16</v>
      </c>
      <c r="I4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1</v>
      </c>
      <c r="F5" s="2" t="s">
        <v>145</v>
      </c>
      <c r="G5" s="12">
        <v>1</v>
      </c>
      <c r="H5" t="s">
        <v>20</v>
      </c>
      <c r="I5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2</v>
      </c>
      <c r="H6" t="s">
        <v>24</v>
      </c>
      <c r="I6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2</v>
      </c>
      <c r="F7" s="2" t="s">
        <v>145</v>
      </c>
      <c r="G7" s="12">
        <v>1</v>
      </c>
      <c r="H7" t="s">
        <v>28</v>
      </c>
      <c r="I7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0</v>
      </c>
      <c r="F8" s="2" t="s">
        <v>145</v>
      </c>
      <c r="G8" s="12">
        <v>2</v>
      </c>
      <c r="H8" t="s">
        <v>32</v>
      </c>
      <c r="I8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0</v>
      </c>
      <c r="F9" s="2" t="s">
        <v>145</v>
      </c>
      <c r="G9" s="12">
        <v>1</v>
      </c>
      <c r="H9" t="s">
        <v>35</v>
      </c>
      <c r="I9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3</v>
      </c>
      <c r="F10" s="2" t="s">
        <v>145</v>
      </c>
      <c r="G10" s="12">
        <v>0</v>
      </c>
      <c r="H10" t="s">
        <v>40</v>
      </c>
      <c r="I10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1</v>
      </c>
      <c r="F11" s="2" t="s">
        <v>145</v>
      </c>
      <c r="G11" s="12">
        <v>1</v>
      </c>
      <c r="H11" t="s">
        <v>44</v>
      </c>
      <c r="I11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1</v>
      </c>
      <c r="F12" s="2" t="s">
        <v>145</v>
      </c>
      <c r="G12" s="12">
        <v>2</v>
      </c>
      <c r="H12" t="s">
        <v>48</v>
      </c>
      <c r="I12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1</v>
      </c>
      <c r="F13" s="2" t="s">
        <v>145</v>
      </c>
      <c r="G13" s="12">
        <v>1</v>
      </c>
      <c r="H13" t="s">
        <v>52</v>
      </c>
      <c r="I13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3</v>
      </c>
      <c r="F14" s="2" t="s">
        <v>145</v>
      </c>
      <c r="G14" s="12">
        <v>0</v>
      </c>
      <c r="H14" t="s">
        <v>55</v>
      </c>
      <c r="I14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1</v>
      </c>
      <c r="F15" s="2" t="s">
        <v>145</v>
      </c>
      <c r="G15" s="12">
        <v>1</v>
      </c>
      <c r="H15" t="s">
        <v>60</v>
      </c>
      <c r="I15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1</v>
      </c>
      <c r="F16" s="2" t="s">
        <v>145</v>
      </c>
      <c r="G16" s="12">
        <v>2</v>
      </c>
      <c r="H16" t="s">
        <v>63</v>
      </c>
      <c r="I16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1</v>
      </c>
      <c r="F17" s="2" t="s">
        <v>145</v>
      </c>
      <c r="G17" s="12">
        <v>0</v>
      </c>
      <c r="H17" t="s">
        <v>66</v>
      </c>
      <c r="I17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2</v>
      </c>
      <c r="F18" s="2" t="s">
        <v>145</v>
      </c>
      <c r="G18" s="12">
        <v>1</v>
      </c>
      <c r="H18" t="s">
        <v>69</v>
      </c>
      <c r="I18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0</v>
      </c>
      <c r="F19" s="2" t="s">
        <v>145</v>
      </c>
      <c r="G19" s="12">
        <v>1</v>
      </c>
      <c r="H19" t="s">
        <v>73</v>
      </c>
      <c r="I19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1</v>
      </c>
      <c r="F20" s="2" t="s">
        <v>145</v>
      </c>
      <c r="G20" s="12">
        <v>0</v>
      </c>
      <c r="H20" t="s">
        <v>76</v>
      </c>
      <c r="I20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1</v>
      </c>
      <c r="F21" s="2" t="s">
        <v>145</v>
      </c>
      <c r="G21" s="12">
        <v>0</v>
      </c>
      <c r="H21" t="s">
        <v>79</v>
      </c>
      <c r="I21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2</v>
      </c>
      <c r="F22" s="2" t="s">
        <v>145</v>
      </c>
      <c r="G22" s="12">
        <v>0</v>
      </c>
      <c r="H22" t="s">
        <v>83</v>
      </c>
      <c r="I22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2</v>
      </c>
      <c r="F23" s="2" t="s">
        <v>145</v>
      </c>
      <c r="G23" s="12">
        <v>1</v>
      </c>
      <c r="H23" t="s">
        <v>86</v>
      </c>
      <c r="I23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1</v>
      </c>
      <c r="F24" s="2" t="s">
        <v>145</v>
      </c>
      <c r="G24" s="12">
        <v>0</v>
      </c>
      <c r="H24" t="s">
        <v>89</v>
      </c>
      <c r="I24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2</v>
      </c>
      <c r="H25" t="s">
        <v>92</v>
      </c>
      <c r="I25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2</v>
      </c>
      <c r="F26" s="2" t="s">
        <v>145</v>
      </c>
      <c r="G26" s="12">
        <v>0</v>
      </c>
      <c r="H26" t="s">
        <v>7</v>
      </c>
      <c r="I26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1</v>
      </c>
      <c r="F27" s="2" t="s">
        <v>145</v>
      </c>
      <c r="G27" s="12">
        <v>0</v>
      </c>
      <c r="H27" t="s">
        <v>16</v>
      </c>
      <c r="I27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1</v>
      </c>
      <c r="F28" s="2" t="s">
        <v>145</v>
      </c>
      <c r="G28" s="12">
        <v>0</v>
      </c>
      <c r="H28" t="s">
        <v>23</v>
      </c>
      <c r="I28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1</v>
      </c>
      <c r="F29" s="2" t="s">
        <v>145</v>
      </c>
      <c r="G29" s="12">
        <v>0</v>
      </c>
      <c r="H29" t="s">
        <v>11</v>
      </c>
      <c r="I29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1</v>
      </c>
      <c r="F30" s="2" t="s">
        <v>145</v>
      </c>
      <c r="G30" s="12">
        <v>0</v>
      </c>
      <c r="H30" t="s">
        <v>34</v>
      </c>
      <c r="I30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1</v>
      </c>
      <c r="F31" s="2" t="s">
        <v>145</v>
      </c>
      <c r="G31" s="12">
        <v>1</v>
      </c>
      <c r="H31" t="s">
        <v>28</v>
      </c>
      <c r="I31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4</v>
      </c>
      <c r="F32" s="2" t="s">
        <v>145</v>
      </c>
      <c r="G32" s="12">
        <v>0</v>
      </c>
      <c r="H32" t="s">
        <v>31</v>
      </c>
      <c r="I32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1</v>
      </c>
      <c r="F33" s="2" t="s">
        <v>145</v>
      </c>
      <c r="G33" s="12">
        <v>0</v>
      </c>
      <c r="H33" t="s">
        <v>20</v>
      </c>
      <c r="I33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1</v>
      </c>
      <c r="F34" s="2" t="s">
        <v>145</v>
      </c>
      <c r="G34" s="12">
        <v>1</v>
      </c>
      <c r="H34" t="s">
        <v>51</v>
      </c>
      <c r="I34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2</v>
      </c>
      <c r="F35" s="2" t="s">
        <v>145</v>
      </c>
      <c r="G35" s="12">
        <v>1</v>
      </c>
      <c r="H35" t="s">
        <v>47</v>
      </c>
      <c r="I35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3</v>
      </c>
      <c r="F36" s="2" t="s">
        <v>145</v>
      </c>
      <c r="G36" s="12">
        <v>0</v>
      </c>
      <c r="H36" t="s">
        <v>40</v>
      </c>
      <c r="I36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1</v>
      </c>
      <c r="F37" s="2" t="s">
        <v>145</v>
      </c>
      <c r="G37" s="12">
        <v>1</v>
      </c>
      <c r="H37" t="s">
        <v>44</v>
      </c>
      <c r="I37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3</v>
      </c>
      <c r="F38" s="2" t="s">
        <v>145</v>
      </c>
      <c r="G38" s="12">
        <v>0</v>
      </c>
      <c r="H38" t="s">
        <v>62</v>
      </c>
      <c r="I38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1</v>
      </c>
      <c r="F39" s="2" t="s">
        <v>145</v>
      </c>
      <c r="G39" s="12">
        <v>1</v>
      </c>
      <c r="H39" t="s">
        <v>65</v>
      </c>
      <c r="I39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3</v>
      </c>
      <c r="F40" s="2" t="s">
        <v>145</v>
      </c>
      <c r="G40" s="12">
        <v>0</v>
      </c>
      <c r="H40" t="s">
        <v>55</v>
      </c>
      <c r="I40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1</v>
      </c>
      <c r="F41" s="2" t="s">
        <v>145</v>
      </c>
      <c r="G41" s="12">
        <v>1</v>
      </c>
      <c r="H41" t="s">
        <v>60</v>
      </c>
      <c r="I41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1</v>
      </c>
      <c r="F42" s="2" t="s">
        <v>145</v>
      </c>
      <c r="G42" s="12">
        <v>0</v>
      </c>
      <c r="H42" t="s">
        <v>78</v>
      </c>
      <c r="I42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3</v>
      </c>
      <c r="F43" s="2" t="s">
        <v>145</v>
      </c>
      <c r="G43" s="12">
        <v>1</v>
      </c>
      <c r="H43" t="s">
        <v>72</v>
      </c>
      <c r="I43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1</v>
      </c>
      <c r="F44" s="2" t="s">
        <v>145</v>
      </c>
      <c r="G44" s="12">
        <v>1</v>
      </c>
      <c r="H44" t="s">
        <v>69</v>
      </c>
      <c r="I44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0</v>
      </c>
      <c r="F45" s="2" t="s">
        <v>145</v>
      </c>
      <c r="G45" s="12">
        <v>1</v>
      </c>
      <c r="H45" t="s">
        <v>76</v>
      </c>
      <c r="I45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2</v>
      </c>
      <c r="F46" s="2" t="s">
        <v>145</v>
      </c>
      <c r="G46" s="12">
        <v>0</v>
      </c>
      <c r="H46" t="s">
        <v>91</v>
      </c>
      <c r="I46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2</v>
      </c>
      <c r="F47" s="2" t="s">
        <v>145</v>
      </c>
      <c r="G47" s="12">
        <v>1</v>
      </c>
      <c r="H47" t="s">
        <v>88</v>
      </c>
      <c r="I47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0</v>
      </c>
      <c r="F48" s="2" t="s">
        <v>145</v>
      </c>
      <c r="G48" s="12">
        <v>1</v>
      </c>
      <c r="H48" t="s">
        <v>86</v>
      </c>
      <c r="I48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3</v>
      </c>
      <c r="F49" s="2" t="s">
        <v>145</v>
      </c>
      <c r="G49" s="12">
        <v>1</v>
      </c>
      <c r="H49" t="s">
        <v>83</v>
      </c>
      <c r="I49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1</v>
      </c>
      <c r="F50" s="2" t="s">
        <v>145</v>
      </c>
      <c r="G50" s="12">
        <v>0</v>
      </c>
      <c r="H50" t="s">
        <v>23</v>
      </c>
      <c r="I50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1</v>
      </c>
      <c r="F51" s="2" t="s">
        <v>145</v>
      </c>
      <c r="G51" s="12">
        <v>0</v>
      </c>
      <c r="H51" t="s">
        <v>15</v>
      </c>
      <c r="I51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0</v>
      </c>
      <c r="F52" s="2" t="s">
        <v>145</v>
      </c>
      <c r="G52" s="12">
        <v>2</v>
      </c>
      <c r="H52" t="s">
        <v>27</v>
      </c>
      <c r="I52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2</v>
      </c>
      <c r="F53" s="2" t="s">
        <v>145</v>
      </c>
      <c r="G53" s="12">
        <v>0</v>
      </c>
      <c r="H53" t="s">
        <v>31</v>
      </c>
      <c r="I53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0</v>
      </c>
      <c r="F54" s="2" t="s">
        <v>145</v>
      </c>
      <c r="G54" s="12">
        <v>1</v>
      </c>
      <c r="H54" t="s">
        <v>11</v>
      </c>
      <c r="I54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1</v>
      </c>
      <c r="F55" s="2" t="s">
        <v>145</v>
      </c>
      <c r="G55" s="12">
        <v>2</v>
      </c>
      <c r="H55" t="s">
        <v>6</v>
      </c>
      <c r="I55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0</v>
      </c>
      <c r="F56" s="2" t="s">
        <v>145</v>
      </c>
      <c r="G56" s="12">
        <v>2</v>
      </c>
      <c r="H56" t="s">
        <v>47</v>
      </c>
      <c r="I56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1</v>
      </c>
      <c r="F57" s="2" t="s">
        <v>145</v>
      </c>
      <c r="G57" s="12">
        <v>2</v>
      </c>
      <c r="H57" t="s">
        <v>39</v>
      </c>
      <c r="I57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2</v>
      </c>
      <c r="F58" s="2" t="s">
        <v>145</v>
      </c>
      <c r="G58" s="12">
        <v>1</v>
      </c>
      <c r="H58" t="s">
        <v>51</v>
      </c>
      <c r="I58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1</v>
      </c>
      <c r="F59" s="2" t="s">
        <v>145</v>
      </c>
      <c r="G59" s="12">
        <v>0</v>
      </c>
      <c r="H59" t="s">
        <v>43</v>
      </c>
      <c r="I59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1</v>
      </c>
      <c r="F60" s="2" t="s">
        <v>145</v>
      </c>
      <c r="G60" s="12">
        <v>1</v>
      </c>
      <c r="H60" t="s">
        <v>34</v>
      </c>
      <c r="I60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1</v>
      </c>
      <c r="F61" s="2" t="s">
        <v>145</v>
      </c>
      <c r="G61" s="12">
        <v>0</v>
      </c>
      <c r="H61" t="s">
        <v>19</v>
      </c>
      <c r="I61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1</v>
      </c>
      <c r="F62" s="2" t="s">
        <v>145</v>
      </c>
      <c r="G62" s="12">
        <v>2</v>
      </c>
      <c r="H62" t="s">
        <v>68</v>
      </c>
      <c r="I62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1</v>
      </c>
      <c r="F63" s="2" t="s">
        <v>145</v>
      </c>
      <c r="G63" s="12">
        <v>0</v>
      </c>
      <c r="H63" t="s">
        <v>72</v>
      </c>
      <c r="I63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0</v>
      </c>
      <c r="F64" s="2" t="s">
        <v>145</v>
      </c>
      <c r="G64" s="12">
        <v>0</v>
      </c>
      <c r="H64" t="s">
        <v>62</v>
      </c>
      <c r="I64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0</v>
      </c>
      <c r="F65" s="2" t="s">
        <v>145</v>
      </c>
      <c r="G65" s="12">
        <v>1</v>
      </c>
      <c r="H65" t="s">
        <v>54</v>
      </c>
      <c r="I65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1</v>
      </c>
      <c r="F66" s="2" t="s">
        <v>145</v>
      </c>
      <c r="G66" s="12">
        <v>0</v>
      </c>
      <c r="H66" t="s">
        <v>65</v>
      </c>
      <c r="I66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0</v>
      </c>
      <c r="F67" s="2" t="s">
        <v>145</v>
      </c>
      <c r="G67" s="12">
        <v>2</v>
      </c>
      <c r="H67" t="s">
        <v>59</v>
      </c>
      <c r="I67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1</v>
      </c>
      <c r="F68" s="2" t="s">
        <v>145</v>
      </c>
      <c r="G68" s="12">
        <v>0</v>
      </c>
      <c r="H68" t="s">
        <v>88</v>
      </c>
      <c r="I68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0</v>
      </c>
      <c r="F69" s="2" t="s">
        <v>145</v>
      </c>
      <c r="G69" s="12">
        <v>3</v>
      </c>
      <c r="H69" t="s">
        <v>85</v>
      </c>
      <c r="I69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1</v>
      </c>
      <c r="F70" s="2" t="s">
        <v>145</v>
      </c>
      <c r="G70" s="12">
        <v>1</v>
      </c>
      <c r="H70" t="s">
        <v>82</v>
      </c>
      <c r="I70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1</v>
      </c>
      <c r="F71" s="2" t="s">
        <v>145</v>
      </c>
      <c r="G71" s="12">
        <v>0</v>
      </c>
      <c r="H71" t="s">
        <v>91</v>
      </c>
      <c r="I71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1</v>
      </c>
      <c r="F72" s="2" t="s">
        <v>145</v>
      </c>
      <c r="G72" s="12">
        <v>0</v>
      </c>
      <c r="H72" t="s">
        <v>78</v>
      </c>
      <c r="I72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0</v>
      </c>
      <c r="F73" s="2" t="s">
        <v>145</v>
      </c>
      <c r="G73" s="12">
        <v>3</v>
      </c>
      <c r="H73" t="s">
        <v>75</v>
      </c>
      <c r="I73" s="2">
        <f>IF(OR(Tabela_3341[[#This Row],[Placar Mandante]]="",Tabela_3341[[#This Row],[Placar Visitante]]="",Tabela_3[[#This Row],[Placar Mandante]]="",Tabela_3[[#This Row],[Placar Visitante]]=""),0,
IF(AND(Tabela_3341[[#This Row],[Placar Mandante]]=Tabela_3[[#This Row],[Placar Mandante]],Tabela_3341[[#This Row],[Placar Visitante]]=Tabela_3[[#This Row],[Placar Visitante]]),3,
IF(SIGN(Tabela_3341[[#This Row],[Placar Mandante]]-Tabela_3341[[#This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CD17-C225-4475-A970-A14DA37A4183}">
  <dimension ref="A1:K73"/>
  <sheetViews>
    <sheetView topLeftCell="C1" zoomScaleNormal="100" workbookViewId="0">
      <selection activeCell="H75" sqref="H75"/>
    </sheetView>
  </sheetViews>
  <sheetFormatPr defaultColWidth="8.88671875"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1.664062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0</v>
      </c>
      <c r="H2" t="s">
        <v>7</v>
      </c>
      <c r="I2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  <c r="J2" s="13"/>
      <c r="K2" s="3">
        <f>SUM(Tabela_33469[Pontuação])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0</v>
      </c>
      <c r="H3" t="s">
        <v>12</v>
      </c>
      <c r="I3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1</v>
      </c>
      <c r="H4" t="s">
        <v>16</v>
      </c>
      <c r="I4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1</v>
      </c>
      <c r="H5" t="s">
        <v>20</v>
      </c>
      <c r="I5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1</v>
      </c>
      <c r="H7" t="s">
        <v>28</v>
      </c>
      <c r="I7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3</v>
      </c>
      <c r="H8" t="s">
        <v>32</v>
      </c>
      <c r="I8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3</v>
      </c>
      <c r="H9" t="s">
        <v>35</v>
      </c>
      <c r="I9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5</v>
      </c>
      <c r="F10" s="12" t="s">
        <v>145</v>
      </c>
      <c r="G10" s="12">
        <v>0</v>
      </c>
      <c r="H10" t="s">
        <v>40</v>
      </c>
      <c r="I10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1</v>
      </c>
      <c r="H11" t="s">
        <v>44</v>
      </c>
      <c r="I11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2</v>
      </c>
      <c r="H12" t="s">
        <v>48</v>
      </c>
      <c r="I12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0</v>
      </c>
      <c r="H13" t="s">
        <v>52</v>
      </c>
      <c r="I13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0</v>
      </c>
      <c r="H14" t="s">
        <v>55</v>
      </c>
      <c r="I14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1</v>
      </c>
      <c r="H15" t="s">
        <v>60</v>
      </c>
      <c r="I15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1</v>
      </c>
      <c r="F16" s="12" t="s">
        <v>145</v>
      </c>
      <c r="G16" s="12">
        <v>1</v>
      </c>
      <c r="H16" t="s">
        <v>63</v>
      </c>
      <c r="I16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2</v>
      </c>
      <c r="H17" t="s">
        <v>66</v>
      </c>
      <c r="I17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0</v>
      </c>
      <c r="H18" t="s">
        <v>69</v>
      </c>
      <c r="I18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3</v>
      </c>
      <c r="H19" t="s">
        <v>73</v>
      </c>
      <c r="I19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1</v>
      </c>
      <c r="H20" t="s">
        <v>76</v>
      </c>
      <c r="I20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1</v>
      </c>
      <c r="H21" t="s">
        <v>79</v>
      </c>
      <c r="I21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4</v>
      </c>
      <c r="F22" s="12" t="s">
        <v>145</v>
      </c>
      <c r="G22" s="12">
        <v>1</v>
      </c>
      <c r="H22" t="s">
        <v>83</v>
      </c>
      <c r="I22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0</v>
      </c>
      <c r="H23" t="s">
        <v>86</v>
      </c>
      <c r="I23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0</v>
      </c>
      <c r="H24" t="s">
        <v>89</v>
      </c>
      <c r="I24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1</v>
      </c>
      <c r="F25" s="12" t="s">
        <v>145</v>
      </c>
      <c r="G25" s="12">
        <v>2</v>
      </c>
      <c r="H25" t="s">
        <v>92</v>
      </c>
      <c r="I25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1</v>
      </c>
      <c r="F26" s="12" t="s">
        <v>145</v>
      </c>
      <c r="G26" s="12">
        <v>1</v>
      </c>
      <c r="H26" t="s">
        <v>7</v>
      </c>
      <c r="I26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1</v>
      </c>
      <c r="H27" t="s">
        <v>16</v>
      </c>
      <c r="I27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1</v>
      </c>
      <c r="F28" s="12" t="s">
        <v>145</v>
      </c>
      <c r="G28" s="12">
        <v>0</v>
      </c>
      <c r="H28" t="s">
        <v>23</v>
      </c>
      <c r="I28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2</v>
      </c>
      <c r="H29" t="s">
        <v>11</v>
      </c>
      <c r="I29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1</v>
      </c>
      <c r="H30" t="s">
        <v>34</v>
      </c>
      <c r="I30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2</v>
      </c>
      <c r="H31" t="s">
        <v>28</v>
      </c>
      <c r="I31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0</v>
      </c>
      <c r="H32" t="s">
        <v>31</v>
      </c>
      <c r="I32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2</v>
      </c>
      <c r="F33" s="12" t="s">
        <v>145</v>
      </c>
      <c r="G33" s="12">
        <v>1</v>
      </c>
      <c r="H33" t="s">
        <v>20</v>
      </c>
      <c r="I33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1</v>
      </c>
      <c r="F34" s="12" t="s">
        <v>145</v>
      </c>
      <c r="G34" s="12">
        <v>0</v>
      </c>
      <c r="H34" t="s">
        <v>51</v>
      </c>
      <c r="I34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3</v>
      </c>
      <c r="F35" s="12" t="s">
        <v>145</v>
      </c>
      <c r="G35" s="12">
        <v>1</v>
      </c>
      <c r="H35" t="s">
        <v>47</v>
      </c>
      <c r="I35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0</v>
      </c>
      <c r="F37" s="12" t="s">
        <v>145</v>
      </c>
      <c r="G37" s="12">
        <v>1</v>
      </c>
      <c r="H37" t="s">
        <v>44</v>
      </c>
      <c r="I37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0</v>
      </c>
      <c r="H38" t="s">
        <v>62</v>
      </c>
      <c r="I38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0</v>
      </c>
      <c r="H39" t="s">
        <v>65</v>
      </c>
      <c r="I39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2</v>
      </c>
      <c r="F40" s="12" t="s">
        <v>145</v>
      </c>
      <c r="G40" s="12">
        <v>0</v>
      </c>
      <c r="H40" t="s">
        <v>55</v>
      </c>
      <c r="I40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1</v>
      </c>
      <c r="F41" s="12" t="s">
        <v>145</v>
      </c>
      <c r="G41" s="12">
        <v>2</v>
      </c>
      <c r="H41" t="s">
        <v>60</v>
      </c>
      <c r="I41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0</v>
      </c>
      <c r="H42" t="s">
        <v>78</v>
      </c>
      <c r="I42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4</v>
      </c>
      <c r="F43" s="12" t="s">
        <v>145</v>
      </c>
      <c r="G43" s="12">
        <v>0</v>
      </c>
      <c r="H43" t="s">
        <v>72</v>
      </c>
      <c r="I43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2</v>
      </c>
      <c r="F44" s="12" t="s">
        <v>145</v>
      </c>
      <c r="G44" s="12">
        <v>1</v>
      </c>
      <c r="H44" t="s">
        <v>69</v>
      </c>
      <c r="I44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1</v>
      </c>
      <c r="H45" t="s">
        <v>76</v>
      </c>
      <c r="I45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0</v>
      </c>
      <c r="H46" t="s">
        <v>91</v>
      </c>
      <c r="I46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0</v>
      </c>
      <c r="H47" t="s">
        <v>88</v>
      </c>
      <c r="I47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1</v>
      </c>
      <c r="F48" s="12" t="s">
        <v>145</v>
      </c>
      <c r="G48" s="12">
        <v>3</v>
      </c>
      <c r="H48" t="s">
        <v>86</v>
      </c>
      <c r="I48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0</v>
      </c>
      <c r="H49" t="s">
        <v>83</v>
      </c>
      <c r="I49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2</v>
      </c>
      <c r="F50" s="12" t="s">
        <v>145</v>
      </c>
      <c r="G50" s="12">
        <v>1</v>
      </c>
      <c r="H50" t="s">
        <v>23</v>
      </c>
      <c r="I50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1</v>
      </c>
      <c r="H51" t="s">
        <v>15</v>
      </c>
      <c r="I51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2</v>
      </c>
      <c r="H52" t="s">
        <v>27</v>
      </c>
      <c r="I52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1</v>
      </c>
      <c r="H53" t="s">
        <v>31</v>
      </c>
      <c r="I53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2</v>
      </c>
      <c r="H54" t="s">
        <v>11</v>
      </c>
      <c r="I54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1</v>
      </c>
      <c r="H55" t="s">
        <v>6</v>
      </c>
      <c r="I55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1</v>
      </c>
      <c r="F56" s="12" t="s">
        <v>145</v>
      </c>
      <c r="G56" s="12">
        <v>2</v>
      </c>
      <c r="H56" t="s">
        <v>47</v>
      </c>
      <c r="I56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2</v>
      </c>
      <c r="F57" s="12" t="s">
        <v>145</v>
      </c>
      <c r="G57" s="12">
        <v>2</v>
      </c>
      <c r="H57" t="s">
        <v>39</v>
      </c>
      <c r="I57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0</v>
      </c>
      <c r="H58" t="s">
        <v>51</v>
      </c>
      <c r="I58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2</v>
      </c>
      <c r="H59" t="s">
        <v>43</v>
      </c>
      <c r="I59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2</v>
      </c>
      <c r="F60" s="12" t="s">
        <v>145</v>
      </c>
      <c r="G60" s="12">
        <v>0</v>
      </c>
      <c r="H60" t="s">
        <v>34</v>
      </c>
      <c r="I60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2</v>
      </c>
      <c r="F61" s="12" t="s">
        <v>145</v>
      </c>
      <c r="G61" s="12">
        <v>2</v>
      </c>
      <c r="H61" t="s">
        <v>19</v>
      </c>
      <c r="I61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2</v>
      </c>
      <c r="H62" t="s">
        <v>68</v>
      </c>
      <c r="I62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0</v>
      </c>
      <c r="H63" t="s">
        <v>72</v>
      </c>
      <c r="I63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1</v>
      </c>
      <c r="H64" t="s">
        <v>62</v>
      </c>
      <c r="I64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2</v>
      </c>
      <c r="H65" t="s">
        <v>54</v>
      </c>
      <c r="I65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0</v>
      </c>
      <c r="H66" t="s">
        <v>65</v>
      </c>
      <c r="I66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1</v>
      </c>
      <c r="F67" s="12" t="s">
        <v>145</v>
      </c>
      <c r="G67" s="12">
        <v>2</v>
      </c>
      <c r="H67" t="s">
        <v>59</v>
      </c>
      <c r="I67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1</v>
      </c>
      <c r="H68" t="s">
        <v>88</v>
      </c>
      <c r="I68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1</v>
      </c>
      <c r="F69" s="12" t="s">
        <v>145</v>
      </c>
      <c r="G69" s="12">
        <v>6</v>
      </c>
      <c r="H69" t="s">
        <v>85</v>
      </c>
      <c r="I69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2</v>
      </c>
      <c r="H70" t="s">
        <v>82</v>
      </c>
      <c r="I70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0</v>
      </c>
      <c r="H71" t="s">
        <v>91</v>
      </c>
      <c r="I71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0</v>
      </c>
      <c r="F72" s="12" t="s">
        <v>145</v>
      </c>
      <c r="G72" s="12">
        <v>0</v>
      </c>
      <c r="H72" t="s">
        <v>78</v>
      </c>
      <c r="I72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IF(OR(Tabela_33469[[#This Row],[Placar Mandante]]="",Tabela_33469[[#This Row],[Placar Visitante]]="",Tabela_3[[#This Row],[Placar Mandante]]="",Tabela_3[[#This Row],[Placar Visitante]]=""),0,
IF(AND(Tabela_33469[[#This Row],[Placar Mandante]]=Tabela_3[[#This Row],[Placar Mandante]],Tabela_33469[[#This Row],[Placar Visitante]]=Tabela_3[[#This Row],[Placar Visitante]]),3,
IF(SIGN(Tabela_33469[[#This Row],[Placar Mandante]]-Tabela_33469[[#This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791E-F405-4D4D-9CFF-D8F1A0BA3F17}">
  <sheetPr codeName="Planilha14"/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1</v>
      </c>
      <c r="F2" s="2" t="s">
        <v>145</v>
      </c>
      <c r="G2" s="12">
        <v>0</v>
      </c>
      <c r="H2" t="s">
        <v>7</v>
      </c>
      <c r="I2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  <c r="K2" s="3">
        <f>SUM(Tabela_3342[Pontuação])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3</v>
      </c>
      <c r="F3" s="2" t="s">
        <v>145</v>
      </c>
      <c r="G3" s="12">
        <v>0</v>
      </c>
      <c r="H3" t="s">
        <v>12</v>
      </c>
      <c r="I3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2</v>
      </c>
      <c r="F4" s="2" t="s">
        <v>145</v>
      </c>
      <c r="G4" s="12">
        <v>1</v>
      </c>
      <c r="H4" t="s">
        <v>16</v>
      </c>
      <c r="I4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2</v>
      </c>
      <c r="F5" s="2" t="s">
        <v>145</v>
      </c>
      <c r="G5" s="12">
        <v>2</v>
      </c>
      <c r="H5" t="s">
        <v>20</v>
      </c>
      <c r="I5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3</v>
      </c>
      <c r="H6" t="s">
        <v>24</v>
      </c>
      <c r="I6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2</v>
      </c>
      <c r="F7" s="2" t="s">
        <v>145</v>
      </c>
      <c r="G7" s="12">
        <v>1</v>
      </c>
      <c r="H7" t="s">
        <v>28</v>
      </c>
      <c r="I7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0</v>
      </c>
      <c r="F8" s="2" t="s">
        <v>145</v>
      </c>
      <c r="G8" s="12">
        <v>0</v>
      </c>
      <c r="H8" t="s">
        <v>32</v>
      </c>
      <c r="I8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1</v>
      </c>
      <c r="F9" s="2" t="s">
        <v>145</v>
      </c>
      <c r="G9" s="12">
        <v>1</v>
      </c>
      <c r="H9" t="s">
        <v>35</v>
      </c>
      <c r="I9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4</v>
      </c>
      <c r="F10" s="2" t="s">
        <v>145</v>
      </c>
      <c r="G10" s="12">
        <v>1</v>
      </c>
      <c r="H10" t="s">
        <v>40</v>
      </c>
      <c r="I10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1</v>
      </c>
      <c r="F11" s="2" t="s">
        <v>145</v>
      </c>
      <c r="G11" s="12">
        <v>3</v>
      </c>
      <c r="H11" t="s">
        <v>44</v>
      </c>
      <c r="I11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0</v>
      </c>
      <c r="F12" s="2" t="s">
        <v>145</v>
      </c>
      <c r="G12" s="12">
        <v>2</v>
      </c>
      <c r="H12" t="s">
        <v>48</v>
      </c>
      <c r="I12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1</v>
      </c>
      <c r="F13" s="2" t="s">
        <v>145</v>
      </c>
      <c r="G13" s="12">
        <v>0</v>
      </c>
      <c r="H13" t="s">
        <v>52</v>
      </c>
      <c r="I13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3</v>
      </c>
      <c r="F14" s="2" t="s">
        <v>145</v>
      </c>
      <c r="G14" s="12">
        <v>0</v>
      </c>
      <c r="H14" t="s">
        <v>55</v>
      </c>
      <c r="I14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2</v>
      </c>
      <c r="F15" s="2" t="s">
        <v>145</v>
      </c>
      <c r="G15" s="12">
        <v>2</v>
      </c>
      <c r="H15" t="s">
        <v>60</v>
      </c>
      <c r="I15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2</v>
      </c>
      <c r="F16" s="2" t="s">
        <v>145</v>
      </c>
      <c r="G16" s="12">
        <v>3</v>
      </c>
      <c r="H16" t="s">
        <v>63</v>
      </c>
      <c r="I16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0</v>
      </c>
      <c r="F17" s="2" t="s">
        <v>145</v>
      </c>
      <c r="G17" s="12">
        <v>0</v>
      </c>
      <c r="H17" t="s">
        <v>66</v>
      </c>
      <c r="I17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2</v>
      </c>
      <c r="F18" s="2" t="s">
        <v>145</v>
      </c>
      <c r="G18" s="12">
        <v>1</v>
      </c>
      <c r="H18" t="s">
        <v>69</v>
      </c>
      <c r="I18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0</v>
      </c>
      <c r="F19" s="2" t="s">
        <v>145</v>
      </c>
      <c r="G19" s="12">
        <v>4</v>
      </c>
      <c r="H19" t="s">
        <v>73</v>
      </c>
      <c r="I19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1</v>
      </c>
      <c r="F20" s="2" t="s">
        <v>145</v>
      </c>
      <c r="G20" s="12">
        <v>0</v>
      </c>
      <c r="H20" t="s">
        <v>76</v>
      </c>
      <c r="I20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1</v>
      </c>
      <c r="F21" s="2" t="s">
        <v>145</v>
      </c>
      <c r="G21" s="12">
        <v>1</v>
      </c>
      <c r="H21" t="s">
        <v>79</v>
      </c>
      <c r="I21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2</v>
      </c>
      <c r="F22" s="2" t="s">
        <v>145</v>
      </c>
      <c r="G22" s="12">
        <v>0</v>
      </c>
      <c r="H22" t="s">
        <v>83</v>
      </c>
      <c r="I22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3</v>
      </c>
      <c r="F23" s="2" t="s">
        <v>145</v>
      </c>
      <c r="G23" s="12">
        <v>2</v>
      </c>
      <c r="H23" t="s">
        <v>86</v>
      </c>
      <c r="I23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1</v>
      </c>
      <c r="F24" s="2" t="s">
        <v>145</v>
      </c>
      <c r="G24" s="12">
        <v>0</v>
      </c>
      <c r="H24" t="s">
        <v>89</v>
      </c>
      <c r="I24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2</v>
      </c>
      <c r="H25" t="s">
        <v>92</v>
      </c>
      <c r="I25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0</v>
      </c>
      <c r="F26" s="2" t="s">
        <v>145</v>
      </c>
      <c r="G26" s="12">
        <v>2</v>
      </c>
      <c r="H26" t="s">
        <v>7</v>
      </c>
      <c r="I26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2</v>
      </c>
      <c r="F27" s="2" t="s">
        <v>145</v>
      </c>
      <c r="G27" s="12">
        <v>0</v>
      </c>
      <c r="H27" t="s">
        <v>16</v>
      </c>
      <c r="I27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1</v>
      </c>
      <c r="F28" s="2" t="s">
        <v>145</v>
      </c>
      <c r="G28" s="12">
        <v>0</v>
      </c>
      <c r="H28" t="s">
        <v>23</v>
      </c>
      <c r="I28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2</v>
      </c>
      <c r="F29" s="2" t="s">
        <v>145</v>
      </c>
      <c r="G29" s="12">
        <v>2</v>
      </c>
      <c r="H29" t="s">
        <v>11</v>
      </c>
      <c r="I29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1</v>
      </c>
      <c r="F30" s="2" t="s">
        <v>145</v>
      </c>
      <c r="G30" s="12">
        <v>2</v>
      </c>
      <c r="H30" t="s">
        <v>34</v>
      </c>
      <c r="I30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1</v>
      </c>
      <c r="F31" s="2" t="s">
        <v>145</v>
      </c>
      <c r="G31" s="12">
        <v>2</v>
      </c>
      <c r="H31" t="s">
        <v>28</v>
      </c>
      <c r="I31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5</v>
      </c>
      <c r="F32" s="2" t="s">
        <v>145</v>
      </c>
      <c r="G32" s="12">
        <v>1</v>
      </c>
      <c r="H32" t="s">
        <v>31</v>
      </c>
      <c r="I32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1</v>
      </c>
      <c r="F33" s="2" t="s">
        <v>145</v>
      </c>
      <c r="G33" s="12">
        <v>1</v>
      </c>
      <c r="H33" t="s">
        <v>20</v>
      </c>
      <c r="I33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2</v>
      </c>
      <c r="F34" s="2" t="s">
        <v>145</v>
      </c>
      <c r="G34" s="12">
        <v>1</v>
      </c>
      <c r="H34" t="s">
        <v>51</v>
      </c>
      <c r="I34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2</v>
      </c>
      <c r="F35" s="2" t="s">
        <v>145</v>
      </c>
      <c r="G35" s="12">
        <v>0</v>
      </c>
      <c r="H35" t="s">
        <v>47</v>
      </c>
      <c r="I35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1</v>
      </c>
      <c r="F36" s="2" t="s">
        <v>145</v>
      </c>
      <c r="G36" s="12">
        <v>0</v>
      </c>
      <c r="H36" t="s">
        <v>40</v>
      </c>
      <c r="I36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0</v>
      </c>
      <c r="F37" s="2" t="s">
        <v>145</v>
      </c>
      <c r="G37" s="12">
        <v>4</v>
      </c>
      <c r="H37" t="s">
        <v>44</v>
      </c>
      <c r="I37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3</v>
      </c>
      <c r="F38" s="2" t="s">
        <v>145</v>
      </c>
      <c r="G38" s="12">
        <v>1</v>
      </c>
      <c r="H38" t="s">
        <v>62</v>
      </c>
      <c r="I38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2</v>
      </c>
      <c r="F39" s="2" t="s">
        <v>145</v>
      </c>
      <c r="G39" s="12">
        <v>0</v>
      </c>
      <c r="H39" t="s">
        <v>65</v>
      </c>
      <c r="I39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3</v>
      </c>
      <c r="F40" s="2" t="s">
        <v>145</v>
      </c>
      <c r="G40" s="12">
        <v>0</v>
      </c>
      <c r="H40" t="s">
        <v>55</v>
      </c>
      <c r="I40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1</v>
      </c>
      <c r="F41" s="2" t="s">
        <v>145</v>
      </c>
      <c r="G41" s="12">
        <v>1</v>
      </c>
      <c r="H41" t="s">
        <v>60</v>
      </c>
      <c r="I41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2</v>
      </c>
      <c r="F42" s="2" t="s">
        <v>145</v>
      </c>
      <c r="G42" s="12">
        <v>0</v>
      </c>
      <c r="H42" t="s">
        <v>78</v>
      </c>
      <c r="I42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3</v>
      </c>
      <c r="F43" s="2" t="s">
        <v>145</v>
      </c>
      <c r="G43" s="12">
        <v>0</v>
      </c>
      <c r="H43" t="s">
        <v>72</v>
      </c>
      <c r="I43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3</v>
      </c>
      <c r="F44" s="2" t="s">
        <v>145</v>
      </c>
      <c r="G44" s="12">
        <v>2</v>
      </c>
      <c r="H44" t="s">
        <v>69</v>
      </c>
      <c r="I44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1</v>
      </c>
      <c r="F45" s="2" t="s">
        <v>145</v>
      </c>
      <c r="G45" s="12">
        <v>0</v>
      </c>
      <c r="H45" t="s">
        <v>76</v>
      </c>
      <c r="I45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2</v>
      </c>
      <c r="F46" s="2" t="s">
        <v>145</v>
      </c>
      <c r="G46" s="12">
        <v>1</v>
      </c>
      <c r="H46" t="s">
        <v>91</v>
      </c>
      <c r="I46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2</v>
      </c>
      <c r="F47" s="2" t="s">
        <v>145</v>
      </c>
      <c r="G47" s="12">
        <v>1</v>
      </c>
      <c r="H47" t="s">
        <v>88</v>
      </c>
      <c r="I47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0</v>
      </c>
      <c r="F48" s="2" t="s">
        <v>145</v>
      </c>
      <c r="G48" s="12">
        <v>1</v>
      </c>
      <c r="H48" t="s">
        <v>86</v>
      </c>
      <c r="I48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1</v>
      </c>
      <c r="F49" s="2" t="s">
        <v>145</v>
      </c>
      <c r="G49" s="12">
        <v>0</v>
      </c>
      <c r="H49" t="s">
        <v>83</v>
      </c>
      <c r="I49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0</v>
      </c>
      <c r="F50" s="2" t="s">
        <v>145</v>
      </c>
      <c r="G50" s="12">
        <v>0</v>
      </c>
      <c r="H50" t="s">
        <v>23</v>
      </c>
      <c r="I50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0</v>
      </c>
      <c r="F51" s="2" t="s">
        <v>145</v>
      </c>
      <c r="G51" s="12">
        <v>0</v>
      </c>
      <c r="H51" t="s">
        <v>15</v>
      </c>
      <c r="I51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0</v>
      </c>
      <c r="F52" s="2" t="s">
        <v>145</v>
      </c>
      <c r="G52" s="12">
        <v>1</v>
      </c>
      <c r="H52" t="s">
        <v>27</v>
      </c>
      <c r="I52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2</v>
      </c>
      <c r="F53" s="2" t="s">
        <v>145</v>
      </c>
      <c r="G53" s="12">
        <v>0</v>
      </c>
      <c r="H53" t="s">
        <v>31</v>
      </c>
      <c r="I53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0</v>
      </c>
      <c r="F54" s="2" t="s">
        <v>145</v>
      </c>
      <c r="G54" s="12">
        <v>1</v>
      </c>
      <c r="H54" t="s">
        <v>11</v>
      </c>
      <c r="I54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0</v>
      </c>
      <c r="F55" s="2" t="s">
        <v>145</v>
      </c>
      <c r="G55" s="12">
        <v>0</v>
      </c>
      <c r="H55" t="s">
        <v>6</v>
      </c>
      <c r="I55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0</v>
      </c>
      <c r="F56" s="2" t="s">
        <v>145</v>
      </c>
      <c r="G56" s="12">
        <v>0</v>
      </c>
      <c r="H56" t="s">
        <v>47</v>
      </c>
      <c r="I56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1</v>
      </c>
      <c r="F57" s="2" t="s">
        <v>145</v>
      </c>
      <c r="G57" s="12">
        <v>2</v>
      </c>
      <c r="H57" t="s">
        <v>39</v>
      </c>
      <c r="I57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3</v>
      </c>
      <c r="F58" s="2" t="s">
        <v>145</v>
      </c>
      <c r="G58" s="12">
        <v>1</v>
      </c>
      <c r="H58" t="s">
        <v>51</v>
      </c>
      <c r="I58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0</v>
      </c>
      <c r="F59" s="2" t="s">
        <v>145</v>
      </c>
      <c r="G59" s="12">
        <v>4</v>
      </c>
      <c r="H59" t="s">
        <v>43</v>
      </c>
      <c r="I59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2</v>
      </c>
      <c r="F60" s="2" t="s">
        <v>145</v>
      </c>
      <c r="G60" s="12">
        <v>3</v>
      </c>
      <c r="H60" t="s">
        <v>34</v>
      </c>
      <c r="I60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1</v>
      </c>
      <c r="F61" s="2" t="s">
        <v>145</v>
      </c>
      <c r="G61" s="12">
        <v>0</v>
      </c>
      <c r="H61" t="s">
        <v>19</v>
      </c>
      <c r="I61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2</v>
      </c>
      <c r="F62" s="2" t="s">
        <v>145</v>
      </c>
      <c r="G62" s="12">
        <v>2</v>
      </c>
      <c r="H62" t="s">
        <v>68</v>
      </c>
      <c r="I62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1</v>
      </c>
      <c r="F63" s="2" t="s">
        <v>145</v>
      </c>
      <c r="G63" s="12">
        <v>0</v>
      </c>
      <c r="H63" t="s">
        <v>72</v>
      </c>
      <c r="I63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0</v>
      </c>
      <c r="F64" s="2" t="s">
        <v>145</v>
      </c>
      <c r="G64" s="12">
        <v>0</v>
      </c>
      <c r="H64" t="s">
        <v>62</v>
      </c>
      <c r="I64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3</v>
      </c>
      <c r="F65" s="2" t="s">
        <v>145</v>
      </c>
      <c r="G65" s="12">
        <v>4</v>
      </c>
      <c r="H65" t="s">
        <v>54</v>
      </c>
      <c r="I65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4</v>
      </c>
      <c r="F66" s="2" t="s">
        <v>145</v>
      </c>
      <c r="G66" s="12">
        <v>1</v>
      </c>
      <c r="H66" t="s">
        <v>65</v>
      </c>
      <c r="I66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0</v>
      </c>
      <c r="F67" s="2" t="s">
        <v>145</v>
      </c>
      <c r="G67" s="12">
        <v>3</v>
      </c>
      <c r="H67" t="s">
        <v>59</v>
      </c>
      <c r="I67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1</v>
      </c>
      <c r="F68" s="2" t="s">
        <v>145</v>
      </c>
      <c r="G68" s="12">
        <v>1</v>
      </c>
      <c r="H68" t="s">
        <v>88</v>
      </c>
      <c r="I68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0</v>
      </c>
      <c r="F69" s="2" t="s">
        <v>145</v>
      </c>
      <c r="G69" s="12">
        <v>6</v>
      </c>
      <c r="H69" t="s">
        <v>85</v>
      </c>
      <c r="I69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2</v>
      </c>
      <c r="F70" s="2" t="s">
        <v>145</v>
      </c>
      <c r="G70" s="12">
        <v>1</v>
      </c>
      <c r="H70" t="s">
        <v>82</v>
      </c>
      <c r="I70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0</v>
      </c>
      <c r="F71" s="2" t="s">
        <v>145</v>
      </c>
      <c r="G71" s="12">
        <v>1</v>
      </c>
      <c r="H71" t="s">
        <v>91</v>
      </c>
      <c r="I71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1</v>
      </c>
      <c r="F72" s="2" t="s">
        <v>145</v>
      </c>
      <c r="G72" s="12">
        <v>4</v>
      </c>
      <c r="H72" t="s">
        <v>78</v>
      </c>
      <c r="I72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2</v>
      </c>
      <c r="F73" s="2" t="s">
        <v>145</v>
      </c>
      <c r="G73" s="12">
        <v>3</v>
      </c>
      <c r="H73" t="s">
        <v>75</v>
      </c>
      <c r="I73" s="2">
        <f>IF(OR(Tabela_3342[[#This Row],[Placar Mandante]]="",Tabela_3342[[#This Row],[Placar Visitante]]="",Tabela_3[[#This Row],[Placar Mandante]]="",Tabela_3[[#This Row],[Placar Visitante]]=""),0,
IF(AND(Tabela_3342[[#This Row],[Placar Mandante]]=Tabela_3[[#This Row],[Placar Mandante]],Tabela_3342[[#This Row],[Placar Visitante]]=Tabela_3[[#This Row],[Placar Visitante]]),3,
IF(SIGN(Tabela_3342[[#This Row],[Placar Mandante]]-Tabela_3342[[#This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11B3-6F0C-4A5B-88B0-E407F909E06C}">
  <sheetPr codeName="Planilha15"/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1</v>
      </c>
      <c r="F2" s="2" t="s">
        <v>145</v>
      </c>
      <c r="G2" s="12">
        <v>0</v>
      </c>
      <c r="H2" t="s">
        <v>7</v>
      </c>
      <c r="I2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  <c r="K2" s="3">
        <f>SUM(Tabela_3343[Pontuação])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0</v>
      </c>
      <c r="F3" s="2" t="s">
        <v>145</v>
      </c>
      <c r="G3" s="12">
        <v>1</v>
      </c>
      <c r="H3" t="s">
        <v>12</v>
      </c>
      <c r="I3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0</v>
      </c>
      <c r="F4" s="2" t="s">
        <v>145</v>
      </c>
      <c r="G4" s="12">
        <v>1</v>
      </c>
      <c r="H4" t="s">
        <v>16</v>
      </c>
      <c r="I4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1</v>
      </c>
      <c r="F5" s="2" t="s">
        <v>145</v>
      </c>
      <c r="G5" s="12">
        <v>0</v>
      </c>
      <c r="H5" t="s">
        <v>20</v>
      </c>
      <c r="I5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1</v>
      </c>
      <c r="H6" t="s">
        <v>24</v>
      </c>
      <c r="I6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2</v>
      </c>
      <c r="F7" s="2" t="s">
        <v>145</v>
      </c>
      <c r="G7" s="12">
        <v>1</v>
      </c>
      <c r="H7" t="s">
        <v>28</v>
      </c>
      <c r="I7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0</v>
      </c>
      <c r="F8" s="2" t="s">
        <v>145</v>
      </c>
      <c r="G8" s="12">
        <v>1</v>
      </c>
      <c r="H8" t="s">
        <v>32</v>
      </c>
      <c r="I8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0</v>
      </c>
      <c r="F9" s="2" t="s">
        <v>145</v>
      </c>
      <c r="G9" s="12">
        <v>1</v>
      </c>
      <c r="H9" t="s">
        <v>35</v>
      </c>
      <c r="I9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1</v>
      </c>
      <c r="F10" s="2" t="s">
        <v>145</v>
      </c>
      <c r="G10" s="12">
        <v>0</v>
      </c>
      <c r="H10" t="s">
        <v>40</v>
      </c>
      <c r="I10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1</v>
      </c>
      <c r="F11" s="2" t="s">
        <v>145</v>
      </c>
      <c r="G11" s="12">
        <v>0</v>
      </c>
      <c r="H11" t="s">
        <v>44</v>
      </c>
      <c r="I11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0</v>
      </c>
      <c r="F12" s="2" t="s">
        <v>145</v>
      </c>
      <c r="G12" s="12">
        <v>1</v>
      </c>
      <c r="H12" t="s">
        <v>48</v>
      </c>
      <c r="I12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1</v>
      </c>
      <c r="F13" s="2" t="s">
        <v>145</v>
      </c>
      <c r="G13" s="12">
        <v>0</v>
      </c>
      <c r="H13" t="s">
        <v>52</v>
      </c>
      <c r="I13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1</v>
      </c>
      <c r="F14" s="2" t="s">
        <v>145</v>
      </c>
      <c r="G14" s="12">
        <v>0</v>
      </c>
      <c r="H14" t="s">
        <v>55</v>
      </c>
      <c r="I14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1</v>
      </c>
      <c r="F15" s="2" t="s">
        <v>145</v>
      </c>
      <c r="G15" s="12">
        <v>0</v>
      </c>
      <c r="H15" t="s">
        <v>60</v>
      </c>
      <c r="I15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0</v>
      </c>
      <c r="F16" s="2" t="s">
        <v>145</v>
      </c>
      <c r="G16" s="12">
        <v>1</v>
      </c>
      <c r="H16" t="s">
        <v>63</v>
      </c>
      <c r="I16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1</v>
      </c>
      <c r="F17" s="2" t="s">
        <v>145</v>
      </c>
      <c r="G17" s="12">
        <v>0</v>
      </c>
      <c r="H17" t="s">
        <v>66</v>
      </c>
      <c r="I17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1</v>
      </c>
      <c r="F18" s="2" t="s">
        <v>145</v>
      </c>
      <c r="G18" s="12">
        <v>0</v>
      </c>
      <c r="H18" t="s">
        <v>69</v>
      </c>
      <c r="I18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0</v>
      </c>
      <c r="F19" s="2" t="s">
        <v>145</v>
      </c>
      <c r="G19" s="12">
        <v>1</v>
      </c>
      <c r="H19" t="s">
        <v>73</v>
      </c>
      <c r="I19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1</v>
      </c>
      <c r="F20" s="2" t="s">
        <v>145</v>
      </c>
      <c r="G20" s="12">
        <v>0</v>
      </c>
      <c r="H20" t="s">
        <v>76</v>
      </c>
      <c r="I20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1</v>
      </c>
      <c r="F21" s="2" t="s">
        <v>145</v>
      </c>
      <c r="G21" s="12">
        <v>0</v>
      </c>
      <c r="H21" t="s">
        <v>79</v>
      </c>
      <c r="I21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1</v>
      </c>
      <c r="F22" s="2" t="s">
        <v>145</v>
      </c>
      <c r="G22" s="12">
        <v>0</v>
      </c>
      <c r="H22" t="s">
        <v>83</v>
      </c>
      <c r="I22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1</v>
      </c>
      <c r="F23" s="2" t="s">
        <v>145</v>
      </c>
      <c r="G23" s="12">
        <v>0</v>
      </c>
      <c r="H23" t="s">
        <v>86</v>
      </c>
      <c r="I23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1</v>
      </c>
      <c r="F24" s="2" t="s">
        <v>145</v>
      </c>
      <c r="G24" s="12">
        <v>0</v>
      </c>
      <c r="H24" t="s">
        <v>89</v>
      </c>
      <c r="I24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1</v>
      </c>
      <c r="H25" t="s">
        <v>92</v>
      </c>
      <c r="I25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1</v>
      </c>
      <c r="F26" s="2" t="s">
        <v>145</v>
      </c>
      <c r="G26" s="12">
        <v>0</v>
      </c>
      <c r="H26" t="s">
        <v>7</v>
      </c>
      <c r="I26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1</v>
      </c>
      <c r="F27" s="2" t="s">
        <v>145</v>
      </c>
      <c r="G27" s="12">
        <v>0</v>
      </c>
      <c r="H27" t="s">
        <v>16</v>
      </c>
      <c r="I27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1</v>
      </c>
      <c r="F28" s="2" t="s">
        <v>145</v>
      </c>
      <c r="G28" s="12">
        <v>0</v>
      </c>
      <c r="H28" t="s">
        <v>23</v>
      </c>
      <c r="I28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1</v>
      </c>
      <c r="F29" s="2" t="s">
        <v>145</v>
      </c>
      <c r="G29" s="12">
        <v>0</v>
      </c>
      <c r="H29" t="s">
        <v>11</v>
      </c>
      <c r="I29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1</v>
      </c>
      <c r="F30" s="2" t="s">
        <v>145</v>
      </c>
      <c r="G30" s="12">
        <v>0</v>
      </c>
      <c r="H30" t="s">
        <v>34</v>
      </c>
      <c r="I30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0</v>
      </c>
      <c r="F31" s="2" t="s">
        <v>145</v>
      </c>
      <c r="G31" s="12">
        <v>1</v>
      </c>
      <c r="H31" t="s">
        <v>28</v>
      </c>
      <c r="I31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4</v>
      </c>
      <c r="F32" s="2" t="s">
        <v>145</v>
      </c>
      <c r="G32" s="12">
        <v>1</v>
      </c>
      <c r="H32" t="s">
        <v>31</v>
      </c>
      <c r="I32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1</v>
      </c>
      <c r="F33" s="2" t="s">
        <v>145</v>
      </c>
      <c r="G33" s="12">
        <v>0</v>
      </c>
      <c r="H33" t="s">
        <v>20</v>
      </c>
      <c r="I33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0</v>
      </c>
      <c r="F34" s="2" t="s">
        <v>145</v>
      </c>
      <c r="G34" s="12">
        <v>1</v>
      </c>
      <c r="H34" t="s">
        <v>51</v>
      </c>
      <c r="I34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1</v>
      </c>
      <c r="F35" s="2" t="s">
        <v>145</v>
      </c>
      <c r="G35" s="12">
        <v>0</v>
      </c>
      <c r="H35" t="s">
        <v>47</v>
      </c>
      <c r="I35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1</v>
      </c>
      <c r="F36" s="2" t="s">
        <v>145</v>
      </c>
      <c r="G36" s="12">
        <v>0</v>
      </c>
      <c r="H36" t="s">
        <v>40</v>
      </c>
      <c r="I36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0</v>
      </c>
      <c r="F37" s="2" t="s">
        <v>145</v>
      </c>
      <c r="G37" s="12">
        <v>1</v>
      </c>
      <c r="H37" t="s">
        <v>44</v>
      </c>
      <c r="I37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1</v>
      </c>
      <c r="F38" s="2" t="s">
        <v>145</v>
      </c>
      <c r="G38" s="12">
        <v>0</v>
      </c>
      <c r="H38" t="s">
        <v>62</v>
      </c>
      <c r="I38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1</v>
      </c>
      <c r="F39" s="2" t="s">
        <v>145</v>
      </c>
      <c r="G39" s="12">
        <v>0</v>
      </c>
      <c r="H39" t="s">
        <v>65</v>
      </c>
      <c r="I39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1</v>
      </c>
      <c r="F40" s="2" t="s">
        <v>145</v>
      </c>
      <c r="G40" s="12">
        <v>0</v>
      </c>
      <c r="H40" t="s">
        <v>55</v>
      </c>
      <c r="I40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0</v>
      </c>
      <c r="F41" s="2" t="s">
        <v>145</v>
      </c>
      <c r="G41" s="12">
        <v>1</v>
      </c>
      <c r="H41" t="s">
        <v>60</v>
      </c>
      <c r="I41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1</v>
      </c>
      <c r="F42" s="2" t="s">
        <v>145</v>
      </c>
      <c r="G42" s="12">
        <v>0</v>
      </c>
      <c r="H42" t="s">
        <v>78</v>
      </c>
      <c r="I42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1</v>
      </c>
      <c r="F43" s="2" t="s">
        <v>145</v>
      </c>
      <c r="G43" s="12">
        <v>0</v>
      </c>
      <c r="H43" t="s">
        <v>72</v>
      </c>
      <c r="I43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0</v>
      </c>
      <c r="F44" s="2" t="s">
        <v>145</v>
      </c>
      <c r="G44" s="12">
        <v>1</v>
      </c>
      <c r="H44" t="s">
        <v>69</v>
      </c>
      <c r="I44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0</v>
      </c>
      <c r="F45" s="2" t="s">
        <v>145</v>
      </c>
      <c r="G45" s="12">
        <v>1</v>
      </c>
      <c r="H45" t="s">
        <v>76</v>
      </c>
      <c r="I45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1</v>
      </c>
      <c r="F46" s="2" t="s">
        <v>145</v>
      </c>
      <c r="G46" s="12">
        <v>0</v>
      </c>
      <c r="H46" t="s">
        <v>91</v>
      </c>
      <c r="I46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1</v>
      </c>
      <c r="F47" s="2" t="s">
        <v>145</v>
      </c>
      <c r="G47" s="12">
        <v>0</v>
      </c>
      <c r="H47" t="s">
        <v>88</v>
      </c>
      <c r="I47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0</v>
      </c>
      <c r="F48" s="2" t="s">
        <v>145</v>
      </c>
      <c r="G48" s="12">
        <v>1</v>
      </c>
      <c r="H48" t="s">
        <v>86</v>
      </c>
      <c r="I48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1</v>
      </c>
      <c r="F49" s="2" t="s">
        <v>145</v>
      </c>
      <c r="G49" s="12">
        <v>0</v>
      </c>
      <c r="H49" t="s">
        <v>83</v>
      </c>
      <c r="I49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1</v>
      </c>
      <c r="F50" s="2" t="s">
        <v>145</v>
      </c>
      <c r="G50" s="12">
        <v>0</v>
      </c>
      <c r="H50" t="s">
        <v>23</v>
      </c>
      <c r="I50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1</v>
      </c>
      <c r="F51" s="2" t="s">
        <v>145</v>
      </c>
      <c r="G51" s="12">
        <v>0</v>
      </c>
      <c r="H51" t="s">
        <v>15</v>
      </c>
      <c r="I51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1</v>
      </c>
      <c r="F52" s="2" t="s">
        <v>145</v>
      </c>
      <c r="G52" s="12">
        <v>3</v>
      </c>
      <c r="H52" t="s">
        <v>27</v>
      </c>
      <c r="I52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1</v>
      </c>
      <c r="F53" s="2" t="s">
        <v>145</v>
      </c>
      <c r="G53" s="12">
        <v>0</v>
      </c>
      <c r="H53" t="s">
        <v>31</v>
      </c>
      <c r="I53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0</v>
      </c>
      <c r="F54" s="2" t="s">
        <v>145</v>
      </c>
      <c r="G54" s="12">
        <v>1</v>
      </c>
      <c r="H54" t="s">
        <v>11</v>
      </c>
      <c r="I54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0</v>
      </c>
      <c r="F55" s="2" t="s">
        <v>145</v>
      </c>
      <c r="G55" s="12">
        <v>1</v>
      </c>
      <c r="H55" t="s">
        <v>6</v>
      </c>
      <c r="I55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0</v>
      </c>
      <c r="F56" s="2" t="s">
        <v>145</v>
      </c>
      <c r="G56" s="12">
        <v>1</v>
      </c>
      <c r="H56" t="s">
        <v>47</v>
      </c>
      <c r="I56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0</v>
      </c>
      <c r="F57" s="2" t="s">
        <v>145</v>
      </c>
      <c r="G57" s="12">
        <v>1</v>
      </c>
      <c r="H57" t="s">
        <v>39</v>
      </c>
      <c r="I57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0</v>
      </c>
      <c r="F58" s="2" t="s">
        <v>145</v>
      </c>
      <c r="G58" s="12">
        <v>1</v>
      </c>
      <c r="H58" t="s">
        <v>51</v>
      </c>
      <c r="I58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0</v>
      </c>
      <c r="F59" s="2" t="s">
        <v>145</v>
      </c>
      <c r="G59" s="12">
        <v>1</v>
      </c>
      <c r="H59" t="s">
        <v>43</v>
      </c>
      <c r="I59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1</v>
      </c>
      <c r="F60" s="2" t="s">
        <v>145</v>
      </c>
      <c r="G60" s="12">
        <v>0</v>
      </c>
      <c r="H60" t="s">
        <v>34</v>
      </c>
      <c r="I60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0</v>
      </c>
      <c r="F61" s="2" t="s">
        <v>145</v>
      </c>
      <c r="G61" s="12">
        <v>1</v>
      </c>
      <c r="H61" t="s">
        <v>19</v>
      </c>
      <c r="I61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0</v>
      </c>
      <c r="F62" s="2" t="s">
        <v>145</v>
      </c>
      <c r="G62" s="12">
        <v>1</v>
      </c>
      <c r="H62" t="s">
        <v>68</v>
      </c>
      <c r="I62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1</v>
      </c>
      <c r="F63" s="2" t="s">
        <v>145</v>
      </c>
      <c r="G63" s="12">
        <v>0</v>
      </c>
      <c r="H63" t="s">
        <v>72</v>
      </c>
      <c r="I63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0</v>
      </c>
      <c r="F64" s="2" t="s">
        <v>145</v>
      </c>
      <c r="G64" s="12">
        <v>1</v>
      </c>
      <c r="H64" t="s">
        <v>62</v>
      </c>
      <c r="I64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0</v>
      </c>
      <c r="F65" s="2" t="s">
        <v>145</v>
      </c>
      <c r="G65" s="12">
        <v>1</v>
      </c>
      <c r="H65" t="s">
        <v>54</v>
      </c>
      <c r="I65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1</v>
      </c>
      <c r="F66" s="2" t="s">
        <v>145</v>
      </c>
      <c r="G66" s="12">
        <v>0</v>
      </c>
      <c r="H66" t="s">
        <v>65</v>
      </c>
      <c r="I66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0</v>
      </c>
      <c r="F67" s="2" t="s">
        <v>145</v>
      </c>
      <c r="G67" s="12">
        <v>1</v>
      </c>
      <c r="H67" t="s">
        <v>59</v>
      </c>
      <c r="I67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1</v>
      </c>
      <c r="F68" s="2" t="s">
        <v>145</v>
      </c>
      <c r="G68" s="12">
        <v>0</v>
      </c>
      <c r="H68" t="s">
        <v>88</v>
      </c>
      <c r="I68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0</v>
      </c>
      <c r="F69" s="2" t="s">
        <v>145</v>
      </c>
      <c r="G69" s="12">
        <v>1</v>
      </c>
      <c r="H69" t="s">
        <v>85</v>
      </c>
      <c r="I69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0</v>
      </c>
      <c r="F70" s="2" t="s">
        <v>145</v>
      </c>
      <c r="G70" s="12">
        <v>1</v>
      </c>
      <c r="H70" t="s">
        <v>82</v>
      </c>
      <c r="I70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0</v>
      </c>
      <c r="F71" s="2" t="s">
        <v>145</v>
      </c>
      <c r="G71" s="12">
        <v>1</v>
      </c>
      <c r="H71" t="s">
        <v>91</v>
      </c>
      <c r="I71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0</v>
      </c>
      <c r="F72" s="2" t="s">
        <v>145</v>
      </c>
      <c r="G72" s="12">
        <v>1</v>
      </c>
      <c r="H72" t="s">
        <v>78</v>
      </c>
      <c r="I72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0</v>
      </c>
      <c r="F73" s="2" t="s">
        <v>145</v>
      </c>
      <c r="G73" s="12">
        <v>1</v>
      </c>
      <c r="H73" t="s">
        <v>75</v>
      </c>
      <c r="I73" s="2">
        <f>IF(OR(Tabela_3343[[#This Row],[Placar Mandante]]="",Tabela_3343[[#This Row],[Placar Visitante]]="",Tabela_3[[#This Row],[Placar Mandante]]="",Tabela_3[[#This Row],[Placar Visitante]]=""),0,
IF(AND(Tabela_3343[[#This Row],[Placar Mandante]]=Tabela_3[[#This Row],[Placar Mandante]],Tabela_3343[[#This Row],[Placar Visitante]]=Tabela_3[[#This Row],[Placar Visitante]]),3,
IF(SIGN(Tabela_3343[[#This Row],[Placar Mandante]]-Tabela_3343[[#This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4FC91-5AAC-44CB-99B0-EA1786C44217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4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1</v>
      </c>
      <c r="H2" t="s">
        <v>7</v>
      </c>
      <c r="I2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  <c r="J2" s="13"/>
      <c r="K2" s="3">
        <f>SUM(Tabela_33423[Pontuação])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1</v>
      </c>
      <c r="H3" t="s">
        <v>12</v>
      </c>
      <c r="I3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1</v>
      </c>
      <c r="H4" t="s">
        <v>16</v>
      </c>
      <c r="I4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1</v>
      </c>
      <c r="H5" t="s">
        <v>20</v>
      </c>
      <c r="I5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1</v>
      </c>
      <c r="F6" s="12" t="s">
        <v>145</v>
      </c>
      <c r="G6" s="12">
        <v>3</v>
      </c>
      <c r="H6" t="s">
        <v>24</v>
      </c>
      <c r="I6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3</v>
      </c>
      <c r="F7" s="12" t="s">
        <v>145</v>
      </c>
      <c r="G7" s="12">
        <v>1</v>
      </c>
      <c r="H7" t="s">
        <v>28</v>
      </c>
      <c r="I7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1</v>
      </c>
      <c r="F8" s="12" t="s">
        <v>145</v>
      </c>
      <c r="G8" s="12">
        <v>2</v>
      </c>
      <c r="H8" t="s">
        <v>32</v>
      </c>
      <c r="I8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2</v>
      </c>
      <c r="F9" s="12" t="s">
        <v>145</v>
      </c>
      <c r="G9" s="12">
        <v>1</v>
      </c>
      <c r="H9" t="s">
        <v>35</v>
      </c>
      <c r="I9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4</v>
      </c>
      <c r="F10" s="12" t="s">
        <v>145</v>
      </c>
      <c r="G10" s="12">
        <v>0</v>
      </c>
      <c r="H10" t="s">
        <v>40</v>
      </c>
      <c r="I10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0</v>
      </c>
      <c r="F11" s="12" t="s">
        <v>145</v>
      </c>
      <c r="G11" s="12">
        <v>3</v>
      </c>
      <c r="H11" t="s">
        <v>44</v>
      </c>
      <c r="I11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2</v>
      </c>
      <c r="F12" s="12" t="s">
        <v>145</v>
      </c>
      <c r="G12" s="12">
        <v>2</v>
      </c>
      <c r="H12" t="s">
        <v>48</v>
      </c>
      <c r="I12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0</v>
      </c>
      <c r="H13" t="s">
        <v>52</v>
      </c>
      <c r="I13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4</v>
      </c>
      <c r="F14" s="12" t="s">
        <v>145</v>
      </c>
      <c r="G14" s="12">
        <v>1</v>
      </c>
      <c r="H14" t="s">
        <v>55</v>
      </c>
      <c r="I14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1</v>
      </c>
      <c r="H15" t="s">
        <v>60</v>
      </c>
      <c r="I15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1</v>
      </c>
      <c r="F16" s="12" t="s">
        <v>145</v>
      </c>
      <c r="G16" s="12">
        <v>2</v>
      </c>
      <c r="H16" t="s">
        <v>63</v>
      </c>
      <c r="I16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2</v>
      </c>
      <c r="H17" t="s">
        <v>66</v>
      </c>
      <c r="I17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3</v>
      </c>
      <c r="F18" s="12" t="s">
        <v>145</v>
      </c>
      <c r="G18" s="12">
        <v>1</v>
      </c>
      <c r="H18" t="s">
        <v>69</v>
      </c>
      <c r="I18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1</v>
      </c>
      <c r="F19" s="12" t="s">
        <v>145</v>
      </c>
      <c r="G19" s="12">
        <v>1</v>
      </c>
      <c r="H19" t="s">
        <v>73</v>
      </c>
      <c r="I19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1</v>
      </c>
      <c r="H20" t="s">
        <v>76</v>
      </c>
      <c r="I20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1</v>
      </c>
      <c r="H21" t="s">
        <v>79</v>
      </c>
      <c r="I21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1</v>
      </c>
      <c r="H22" t="s">
        <v>83</v>
      </c>
      <c r="I22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1</v>
      </c>
      <c r="F23" s="12" t="s">
        <v>145</v>
      </c>
      <c r="G23" s="12">
        <v>2</v>
      </c>
      <c r="H23" t="s">
        <v>86</v>
      </c>
      <c r="I23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1</v>
      </c>
      <c r="F24" s="12" t="s">
        <v>145</v>
      </c>
      <c r="G24" s="12">
        <v>1</v>
      </c>
      <c r="H24" t="s">
        <v>89</v>
      </c>
      <c r="I24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1</v>
      </c>
      <c r="H25" t="s">
        <v>92</v>
      </c>
      <c r="I25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0</v>
      </c>
      <c r="F26" s="12" t="s">
        <v>145</v>
      </c>
      <c r="G26" s="12">
        <v>0</v>
      </c>
      <c r="H26" t="s">
        <v>7</v>
      </c>
      <c r="I26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1</v>
      </c>
      <c r="H27" t="s">
        <v>16</v>
      </c>
      <c r="I27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1</v>
      </c>
      <c r="F28" s="12" t="s">
        <v>145</v>
      </c>
      <c r="G28" s="12">
        <v>1</v>
      </c>
      <c r="H28" t="s">
        <v>23</v>
      </c>
      <c r="I28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0</v>
      </c>
      <c r="H29" t="s">
        <v>11</v>
      </c>
      <c r="I29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0</v>
      </c>
      <c r="F30" s="12" t="s">
        <v>145</v>
      </c>
      <c r="G30" s="12">
        <v>0</v>
      </c>
      <c r="H30" t="s">
        <v>34</v>
      </c>
      <c r="I30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0</v>
      </c>
      <c r="F31" s="12" t="s">
        <v>145</v>
      </c>
      <c r="G31" s="12">
        <v>1</v>
      </c>
      <c r="H31" t="s">
        <v>28</v>
      </c>
      <c r="I31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5</v>
      </c>
      <c r="F32" s="12" t="s">
        <v>145</v>
      </c>
      <c r="G32" s="12">
        <v>1</v>
      </c>
      <c r="H32" t="s">
        <v>31</v>
      </c>
      <c r="I32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2</v>
      </c>
      <c r="F33" s="12" t="s">
        <v>145</v>
      </c>
      <c r="G33" s="12">
        <v>1</v>
      </c>
      <c r="H33" t="s">
        <v>20</v>
      </c>
      <c r="I33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0</v>
      </c>
      <c r="F34" s="12" t="s">
        <v>145</v>
      </c>
      <c r="G34" s="12">
        <v>2</v>
      </c>
      <c r="H34" t="s">
        <v>51</v>
      </c>
      <c r="I34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3</v>
      </c>
      <c r="F35" s="12" t="s">
        <v>145</v>
      </c>
      <c r="G35" s="12">
        <v>1</v>
      </c>
      <c r="H35" t="s">
        <v>47</v>
      </c>
      <c r="I35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1</v>
      </c>
      <c r="F36" s="12" t="s">
        <v>145</v>
      </c>
      <c r="G36" s="12">
        <v>0</v>
      </c>
      <c r="H36" t="s">
        <v>40</v>
      </c>
      <c r="I36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0</v>
      </c>
      <c r="F37" s="12" t="s">
        <v>145</v>
      </c>
      <c r="G37" s="12">
        <v>2</v>
      </c>
      <c r="H37" t="s">
        <v>44</v>
      </c>
      <c r="I37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0</v>
      </c>
      <c r="H38" t="s">
        <v>62</v>
      </c>
      <c r="I38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1</v>
      </c>
      <c r="H39" t="s">
        <v>65</v>
      </c>
      <c r="I39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1</v>
      </c>
      <c r="H40" t="s">
        <v>55</v>
      </c>
      <c r="I40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0</v>
      </c>
      <c r="H41" t="s">
        <v>60</v>
      </c>
      <c r="I41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3</v>
      </c>
      <c r="F42" s="12" t="s">
        <v>145</v>
      </c>
      <c r="G42" s="12">
        <v>1</v>
      </c>
      <c r="H42" t="s">
        <v>78</v>
      </c>
      <c r="I42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2</v>
      </c>
      <c r="F44" s="12" t="s">
        <v>145</v>
      </c>
      <c r="G44" s="12">
        <v>0</v>
      </c>
      <c r="H44" t="s">
        <v>69</v>
      </c>
      <c r="I44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0</v>
      </c>
      <c r="H45" t="s">
        <v>76</v>
      </c>
      <c r="I45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2</v>
      </c>
      <c r="F46" s="12" t="s">
        <v>145</v>
      </c>
      <c r="G46" s="12">
        <v>0</v>
      </c>
      <c r="H46" t="s">
        <v>91</v>
      </c>
      <c r="I46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1</v>
      </c>
      <c r="H47" t="s">
        <v>88</v>
      </c>
      <c r="I47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3</v>
      </c>
      <c r="H48" t="s">
        <v>86</v>
      </c>
      <c r="I48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1</v>
      </c>
      <c r="F49" s="12" t="s">
        <v>145</v>
      </c>
      <c r="G49" s="12">
        <v>1</v>
      </c>
      <c r="H49" t="s">
        <v>83</v>
      </c>
      <c r="I49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0</v>
      </c>
      <c r="F50" s="12" t="s">
        <v>145</v>
      </c>
      <c r="G50" s="12">
        <v>0</v>
      </c>
      <c r="H50" t="s">
        <v>23</v>
      </c>
      <c r="I50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2</v>
      </c>
      <c r="F51" s="12" t="s">
        <v>145</v>
      </c>
      <c r="G51" s="12">
        <v>1</v>
      </c>
      <c r="H51" t="s">
        <v>15</v>
      </c>
      <c r="I51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1</v>
      </c>
      <c r="F52" s="12" t="s">
        <v>145</v>
      </c>
      <c r="G52" s="12">
        <v>2</v>
      </c>
      <c r="H52" t="s">
        <v>27</v>
      </c>
      <c r="I52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0</v>
      </c>
      <c r="H53" t="s">
        <v>31</v>
      </c>
      <c r="I53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0</v>
      </c>
      <c r="H54" t="s">
        <v>11</v>
      </c>
      <c r="I54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0</v>
      </c>
      <c r="F55" s="12" t="s">
        <v>145</v>
      </c>
      <c r="G55" s="12">
        <v>2</v>
      </c>
      <c r="H55" t="s">
        <v>6</v>
      </c>
      <c r="I55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1</v>
      </c>
      <c r="H56" t="s">
        <v>47</v>
      </c>
      <c r="I56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2</v>
      </c>
      <c r="H57" t="s">
        <v>39</v>
      </c>
      <c r="I57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0</v>
      </c>
      <c r="H58" t="s">
        <v>51</v>
      </c>
      <c r="I58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0</v>
      </c>
      <c r="H59" t="s">
        <v>43</v>
      </c>
      <c r="I59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2</v>
      </c>
      <c r="F60" s="12" t="s">
        <v>145</v>
      </c>
      <c r="G60" s="12">
        <v>2</v>
      </c>
      <c r="H60" t="s">
        <v>34</v>
      </c>
      <c r="I60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0</v>
      </c>
      <c r="F61" s="12" t="s">
        <v>145</v>
      </c>
      <c r="G61" s="12">
        <v>1</v>
      </c>
      <c r="H61" t="s">
        <v>19</v>
      </c>
      <c r="I61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3</v>
      </c>
      <c r="H62" t="s">
        <v>68</v>
      </c>
      <c r="I62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1</v>
      </c>
      <c r="H63" t="s">
        <v>72</v>
      </c>
      <c r="I63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0</v>
      </c>
      <c r="F64" s="12" t="s">
        <v>145</v>
      </c>
      <c r="G64" s="12">
        <v>1</v>
      </c>
      <c r="H64" t="s">
        <v>62</v>
      </c>
      <c r="I64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0</v>
      </c>
      <c r="F65" s="12" t="s">
        <v>145</v>
      </c>
      <c r="G65" s="12">
        <v>2</v>
      </c>
      <c r="H65" t="s">
        <v>54</v>
      </c>
      <c r="I65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1</v>
      </c>
      <c r="H66" t="s">
        <v>65</v>
      </c>
      <c r="I66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2</v>
      </c>
      <c r="H67" t="s">
        <v>59</v>
      </c>
      <c r="I67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1</v>
      </c>
      <c r="H68" t="s">
        <v>88</v>
      </c>
      <c r="I68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2</v>
      </c>
      <c r="H69" t="s">
        <v>85</v>
      </c>
      <c r="I69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2</v>
      </c>
      <c r="H70" t="s">
        <v>82</v>
      </c>
      <c r="I70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0</v>
      </c>
      <c r="F71" s="12" t="s">
        <v>145</v>
      </c>
      <c r="G71" s="12">
        <v>0</v>
      </c>
      <c r="H71" t="s">
        <v>91</v>
      </c>
      <c r="I71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0</v>
      </c>
      <c r="F72" s="12" t="s">
        <v>145</v>
      </c>
      <c r="G72" s="12">
        <v>1</v>
      </c>
      <c r="H72" t="s">
        <v>78</v>
      </c>
      <c r="I72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1</v>
      </c>
      <c r="F73" s="12" t="s">
        <v>145</v>
      </c>
      <c r="G73" s="12">
        <v>3</v>
      </c>
      <c r="H73" t="s">
        <v>75</v>
      </c>
      <c r="I73" s="12">
        <f>IF(OR(Tabela_33423[[#This Row],[Placar Mandante]]="",Tabela_33423[[#This Row],[Placar Visitante]]="",Tabela_3[[#This Row],[Placar Mandante]]="",Tabela_3[[#This Row],[Placar Visitante]]=""),0,
IF(AND(Tabela_33423[[#This Row],[Placar Mandante]]=Tabela_3[[#This Row],[Placar Mandante]],Tabela_33423[[#This Row],[Placar Visitante]]=Tabela_3[[#This Row],[Placar Visitante]]),3,
IF(SIGN(Tabela_33423[[#This Row],[Placar Mandante]]-Tabela_33423[[#This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1D28-1C7F-437F-92B6-45FC8928EF2E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1.8867187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0</v>
      </c>
      <c r="H2" t="s">
        <v>7</v>
      </c>
      <c r="I2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  <c r="J2" s="13"/>
      <c r="K2" s="3">
        <f>SUM(Tabela_33424[Pontuação])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2</v>
      </c>
      <c r="H3" t="s">
        <v>12</v>
      </c>
      <c r="I3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2</v>
      </c>
      <c r="H4" t="s">
        <v>16</v>
      </c>
      <c r="I4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3</v>
      </c>
      <c r="H5" t="s">
        <v>20</v>
      </c>
      <c r="I5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1</v>
      </c>
      <c r="F7" s="12" t="s">
        <v>145</v>
      </c>
      <c r="G7" s="12">
        <v>1</v>
      </c>
      <c r="H7" t="s">
        <v>28</v>
      </c>
      <c r="I7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3</v>
      </c>
      <c r="H8" t="s">
        <v>32</v>
      </c>
      <c r="I8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0</v>
      </c>
      <c r="F9" s="12" t="s">
        <v>145</v>
      </c>
      <c r="G9" s="12">
        <v>0</v>
      </c>
      <c r="H9" t="s">
        <v>35</v>
      </c>
      <c r="I9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5</v>
      </c>
      <c r="F10" s="12" t="s">
        <v>145</v>
      </c>
      <c r="G10" s="12">
        <v>0</v>
      </c>
      <c r="H10" t="s">
        <v>40</v>
      </c>
      <c r="I10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1</v>
      </c>
      <c r="H11" t="s">
        <v>44</v>
      </c>
      <c r="I11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1</v>
      </c>
      <c r="H12" t="s">
        <v>48</v>
      </c>
      <c r="I12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1</v>
      </c>
      <c r="H13" t="s">
        <v>52</v>
      </c>
      <c r="I13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4</v>
      </c>
      <c r="F14" s="12" t="s">
        <v>145</v>
      </c>
      <c r="G14" s="12">
        <v>1</v>
      </c>
      <c r="H14" t="s">
        <v>55</v>
      </c>
      <c r="I14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0</v>
      </c>
      <c r="H15" t="s">
        <v>60</v>
      </c>
      <c r="I15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1</v>
      </c>
      <c r="H17" t="s">
        <v>66</v>
      </c>
      <c r="I17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2</v>
      </c>
      <c r="H18" t="s">
        <v>69</v>
      </c>
      <c r="I18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2</v>
      </c>
      <c r="H19" t="s">
        <v>73</v>
      </c>
      <c r="I19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1</v>
      </c>
      <c r="H20" t="s">
        <v>76</v>
      </c>
      <c r="I20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1</v>
      </c>
      <c r="H21" t="s">
        <v>79</v>
      </c>
      <c r="I21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5</v>
      </c>
      <c r="F22" s="12" t="s">
        <v>145</v>
      </c>
      <c r="G22" s="12">
        <v>0</v>
      </c>
      <c r="H22" t="s">
        <v>83</v>
      </c>
      <c r="I22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3</v>
      </c>
      <c r="F23" s="12" t="s">
        <v>145</v>
      </c>
      <c r="G23" s="12">
        <v>2</v>
      </c>
      <c r="H23" t="s">
        <v>86</v>
      </c>
      <c r="I23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0</v>
      </c>
      <c r="H24" t="s">
        <v>89</v>
      </c>
      <c r="I24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1</v>
      </c>
      <c r="F26" s="12" t="s">
        <v>145</v>
      </c>
      <c r="G26" s="12">
        <v>1</v>
      </c>
      <c r="H26" t="s">
        <v>7</v>
      </c>
      <c r="I26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3</v>
      </c>
      <c r="F27" s="12" t="s">
        <v>145</v>
      </c>
      <c r="G27" s="12">
        <v>0</v>
      </c>
      <c r="H27" t="s">
        <v>16</v>
      </c>
      <c r="I27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0</v>
      </c>
      <c r="F28" s="12" t="s">
        <v>145</v>
      </c>
      <c r="G28" s="12">
        <v>0</v>
      </c>
      <c r="H28" t="s">
        <v>23</v>
      </c>
      <c r="I28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1</v>
      </c>
      <c r="F30" s="12" t="s">
        <v>145</v>
      </c>
      <c r="G30" s="12">
        <v>0</v>
      </c>
      <c r="H30" t="s">
        <v>34</v>
      </c>
      <c r="I30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0</v>
      </c>
      <c r="F31" s="12" t="s">
        <v>145</v>
      </c>
      <c r="G31" s="12">
        <v>2</v>
      </c>
      <c r="H31" t="s">
        <v>28</v>
      </c>
      <c r="I31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0</v>
      </c>
      <c r="H32" t="s">
        <v>31</v>
      </c>
      <c r="I32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2</v>
      </c>
      <c r="H33" t="s">
        <v>20</v>
      </c>
      <c r="I33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3</v>
      </c>
      <c r="F34" s="12" t="s">
        <v>145</v>
      </c>
      <c r="G34" s="12">
        <v>2</v>
      </c>
      <c r="H34" t="s">
        <v>51</v>
      </c>
      <c r="I34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0</v>
      </c>
      <c r="H35" t="s">
        <v>47</v>
      </c>
      <c r="I35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1</v>
      </c>
      <c r="H36" t="s">
        <v>40</v>
      </c>
      <c r="I36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2</v>
      </c>
      <c r="H37" t="s">
        <v>44</v>
      </c>
      <c r="I37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0</v>
      </c>
      <c r="H38" t="s">
        <v>62</v>
      </c>
      <c r="I38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0</v>
      </c>
      <c r="H39" t="s">
        <v>65</v>
      </c>
      <c r="I39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4</v>
      </c>
      <c r="F40" s="12" t="s">
        <v>145</v>
      </c>
      <c r="G40" s="12">
        <v>1</v>
      </c>
      <c r="H40" t="s">
        <v>55</v>
      </c>
      <c r="I40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2</v>
      </c>
      <c r="H41" t="s">
        <v>60</v>
      </c>
      <c r="I41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1</v>
      </c>
      <c r="F42" s="12" t="s">
        <v>145</v>
      </c>
      <c r="G42" s="12">
        <v>1</v>
      </c>
      <c r="H42" t="s">
        <v>78</v>
      </c>
      <c r="I42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2</v>
      </c>
      <c r="F44" s="12" t="s">
        <v>145</v>
      </c>
      <c r="G44" s="12">
        <v>1</v>
      </c>
      <c r="H44" t="s">
        <v>69</v>
      </c>
      <c r="I44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0</v>
      </c>
      <c r="H45" t="s">
        <v>76</v>
      </c>
      <c r="I45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1</v>
      </c>
      <c r="H46" t="s">
        <v>91</v>
      </c>
      <c r="I46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1</v>
      </c>
      <c r="H47" t="s">
        <v>88</v>
      </c>
      <c r="I47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5</v>
      </c>
      <c r="F49" s="12" t="s">
        <v>145</v>
      </c>
      <c r="G49" s="12">
        <v>1</v>
      </c>
      <c r="H49" t="s">
        <v>83</v>
      </c>
      <c r="I49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3</v>
      </c>
      <c r="F50" s="12" t="s">
        <v>145</v>
      </c>
      <c r="G50" s="12">
        <v>3</v>
      </c>
      <c r="H50" t="s">
        <v>23</v>
      </c>
      <c r="I50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2</v>
      </c>
      <c r="F51" s="12" t="s">
        <v>145</v>
      </c>
      <c r="G51" s="12">
        <v>0</v>
      </c>
      <c r="H51" t="s">
        <v>15</v>
      </c>
      <c r="I51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2</v>
      </c>
      <c r="H52" t="s">
        <v>27</v>
      </c>
      <c r="I52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0</v>
      </c>
      <c r="H53" t="s">
        <v>31</v>
      </c>
      <c r="I53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2</v>
      </c>
      <c r="H54" t="s">
        <v>11</v>
      </c>
      <c r="I54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0</v>
      </c>
      <c r="F55" s="12" t="s">
        <v>145</v>
      </c>
      <c r="G55" s="12">
        <v>1</v>
      </c>
      <c r="H55" t="s">
        <v>6</v>
      </c>
      <c r="I55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3</v>
      </c>
      <c r="H56" t="s">
        <v>47</v>
      </c>
      <c r="I56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2</v>
      </c>
      <c r="F57" s="12" t="s">
        <v>145</v>
      </c>
      <c r="G57" s="12">
        <v>3</v>
      </c>
      <c r="H57" t="s">
        <v>39</v>
      </c>
      <c r="I57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2</v>
      </c>
      <c r="H58" t="s">
        <v>51</v>
      </c>
      <c r="I58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3</v>
      </c>
      <c r="H59" t="s">
        <v>43</v>
      </c>
      <c r="I59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2</v>
      </c>
      <c r="F60" s="12" t="s">
        <v>145</v>
      </c>
      <c r="G60" s="12">
        <v>0</v>
      </c>
      <c r="H60" t="s">
        <v>34</v>
      </c>
      <c r="I60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0</v>
      </c>
      <c r="F61" s="12" t="s">
        <v>145</v>
      </c>
      <c r="G61" s="12">
        <v>1</v>
      </c>
      <c r="H61" t="s">
        <v>19</v>
      </c>
      <c r="I61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2</v>
      </c>
      <c r="F62" s="12" t="s">
        <v>145</v>
      </c>
      <c r="G62" s="12">
        <v>2</v>
      </c>
      <c r="H62" t="s">
        <v>68</v>
      </c>
      <c r="I62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3</v>
      </c>
      <c r="F63" s="12" t="s">
        <v>145</v>
      </c>
      <c r="G63" s="12">
        <v>1</v>
      </c>
      <c r="H63" t="s">
        <v>72</v>
      </c>
      <c r="I63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0</v>
      </c>
      <c r="F64" s="12" t="s">
        <v>145</v>
      </c>
      <c r="G64" s="12">
        <v>2</v>
      </c>
      <c r="H64" t="s">
        <v>62</v>
      </c>
      <c r="I64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2</v>
      </c>
      <c r="F65" s="12" t="s">
        <v>145</v>
      </c>
      <c r="G65" s="12">
        <v>2</v>
      </c>
      <c r="H65" t="s">
        <v>54</v>
      </c>
      <c r="I65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0</v>
      </c>
      <c r="H66" t="s">
        <v>65</v>
      </c>
      <c r="I66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3</v>
      </c>
      <c r="H67" t="s">
        <v>59</v>
      </c>
      <c r="I67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3</v>
      </c>
      <c r="F68" s="12" t="s">
        <v>145</v>
      </c>
      <c r="G68" s="12">
        <v>2</v>
      </c>
      <c r="H68" t="s">
        <v>88</v>
      </c>
      <c r="I68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4</v>
      </c>
      <c r="H69" t="s">
        <v>85</v>
      </c>
      <c r="I69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2</v>
      </c>
      <c r="F70" s="12" t="s">
        <v>145</v>
      </c>
      <c r="G70" s="12">
        <v>2</v>
      </c>
      <c r="H70" t="s">
        <v>82</v>
      </c>
      <c r="I70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0</v>
      </c>
      <c r="F71" s="12" t="s">
        <v>145</v>
      </c>
      <c r="G71" s="12">
        <v>0</v>
      </c>
      <c r="H71" t="s">
        <v>91</v>
      </c>
      <c r="I71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0</v>
      </c>
      <c r="F72" s="12" t="s">
        <v>145</v>
      </c>
      <c r="G72" s="12">
        <v>0</v>
      </c>
      <c r="H72" t="s">
        <v>78</v>
      </c>
      <c r="I72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4</v>
      </c>
      <c r="H73" t="s">
        <v>75</v>
      </c>
      <c r="I73" s="12">
        <f>IF(OR(Tabela_33424[[#This Row],[Placar Mandante]]="",Tabela_33424[[#This Row],[Placar Visitante]]="",Tabela_3[[#This Row],[Placar Mandante]]="",Tabela_3[[#This Row],[Placar Visitante]]=""),0,
IF(AND(Tabela_33424[[#This Row],[Placar Mandante]]=Tabela_3[[#This Row],[Placar Mandante]],Tabela_33424[[#This Row],[Placar Visitante]]=Tabela_3[[#This Row],[Placar Visitante]]),3,
IF(SIGN(Tabela_33424[[#This Row],[Placar Mandante]]-Tabela_33424[[#This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829A-6F1D-4B49-ABFC-AFD84383818F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6640625" style="11" hidden="1" customWidth="1"/>
    <col min="2" max="2" width="10.33203125" style="11" bestFit="1" customWidth="1"/>
    <col min="3" max="3" width="9.44140625" style="11" bestFit="1" customWidth="1"/>
    <col min="4" max="4" width="18.33203125" style="11" bestFit="1" customWidth="1"/>
    <col min="5" max="5" width="18.33203125" style="11" customWidth="1"/>
    <col min="6" max="6" width="4.109375" style="12" bestFit="1" customWidth="1"/>
    <col min="7" max="7" width="18.33203125" style="11" customWidth="1"/>
    <col min="8" max="8" width="18.33203125" style="11" bestFit="1" customWidth="1"/>
    <col min="9" max="9" width="8.88671875" style="11"/>
    <col min="10" max="10" width="10.44140625" style="11" customWidth="1"/>
    <col min="11" max="11" width="10.3320312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1</v>
      </c>
      <c r="H2" t="s">
        <v>7</v>
      </c>
      <c r="I2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  <c r="J2" s="13"/>
      <c r="K2" s="3">
        <f>SUM(Tabela_33425[Pontuação])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1</v>
      </c>
      <c r="H3" t="s">
        <v>12</v>
      </c>
      <c r="I3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1</v>
      </c>
      <c r="H4" t="s">
        <v>16</v>
      </c>
      <c r="I4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2</v>
      </c>
      <c r="F5" s="12" t="s">
        <v>145</v>
      </c>
      <c r="G5" s="12">
        <v>1</v>
      </c>
      <c r="H5" t="s">
        <v>20</v>
      </c>
      <c r="I5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3</v>
      </c>
      <c r="F7" s="12" t="s">
        <v>145</v>
      </c>
      <c r="G7" s="12">
        <v>1</v>
      </c>
      <c r="H7" t="s">
        <v>28</v>
      </c>
      <c r="I7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1</v>
      </c>
      <c r="F8" s="12" t="s">
        <v>145</v>
      </c>
      <c r="G8" s="12">
        <v>2</v>
      </c>
      <c r="H8" t="s">
        <v>32</v>
      </c>
      <c r="I8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1</v>
      </c>
      <c r="H9" t="s">
        <v>35</v>
      </c>
      <c r="I9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3</v>
      </c>
      <c r="F10" s="12" t="s">
        <v>145</v>
      </c>
      <c r="G10" s="12">
        <v>0</v>
      </c>
      <c r="H10" t="s">
        <v>40</v>
      </c>
      <c r="I10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1</v>
      </c>
      <c r="H11" t="s">
        <v>44</v>
      </c>
      <c r="I11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2</v>
      </c>
      <c r="F12" s="12" t="s">
        <v>145</v>
      </c>
      <c r="G12" s="12">
        <v>1</v>
      </c>
      <c r="H12" t="s">
        <v>48</v>
      </c>
      <c r="I12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0</v>
      </c>
      <c r="H13" t="s">
        <v>52</v>
      </c>
      <c r="I13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0</v>
      </c>
      <c r="H14" t="s">
        <v>55</v>
      </c>
      <c r="I14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0</v>
      </c>
      <c r="H15" t="s">
        <v>60</v>
      </c>
      <c r="I15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2</v>
      </c>
      <c r="F17" s="12" t="s">
        <v>145</v>
      </c>
      <c r="G17" s="12">
        <v>0</v>
      </c>
      <c r="H17" t="s">
        <v>66</v>
      </c>
      <c r="I17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1</v>
      </c>
      <c r="H18" t="s">
        <v>69</v>
      </c>
      <c r="I18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1</v>
      </c>
      <c r="F19" s="12" t="s">
        <v>145</v>
      </c>
      <c r="G19" s="12">
        <v>2</v>
      </c>
      <c r="H19" t="s">
        <v>73</v>
      </c>
      <c r="I19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0</v>
      </c>
      <c r="H20" t="s">
        <v>76</v>
      </c>
      <c r="I20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0</v>
      </c>
      <c r="H21" t="s">
        <v>79</v>
      </c>
      <c r="I21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0</v>
      </c>
      <c r="H22" t="s">
        <v>83</v>
      </c>
      <c r="I22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1</v>
      </c>
      <c r="H23" t="s">
        <v>86</v>
      </c>
      <c r="I23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1</v>
      </c>
      <c r="H24" t="s">
        <v>89</v>
      </c>
      <c r="I24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1</v>
      </c>
      <c r="H26" t="s">
        <v>7</v>
      </c>
      <c r="I26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0</v>
      </c>
      <c r="H27" t="s">
        <v>16</v>
      </c>
      <c r="I27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1</v>
      </c>
      <c r="F28" s="12" t="s">
        <v>145</v>
      </c>
      <c r="G28" s="12">
        <v>1</v>
      </c>
      <c r="H28" t="s">
        <v>23</v>
      </c>
      <c r="I28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0</v>
      </c>
      <c r="H30" t="s">
        <v>34</v>
      </c>
      <c r="I30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1</v>
      </c>
      <c r="H31" t="s">
        <v>28</v>
      </c>
      <c r="I31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3</v>
      </c>
      <c r="F32" s="12" t="s">
        <v>145</v>
      </c>
      <c r="G32" s="12">
        <v>0</v>
      </c>
      <c r="H32" t="s">
        <v>31</v>
      </c>
      <c r="I32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1</v>
      </c>
      <c r="H33" t="s">
        <v>20</v>
      </c>
      <c r="I33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1</v>
      </c>
      <c r="H34" t="s">
        <v>51</v>
      </c>
      <c r="I34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1</v>
      </c>
      <c r="H35" t="s">
        <v>47</v>
      </c>
      <c r="I35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0</v>
      </c>
      <c r="F37" s="12" t="s">
        <v>145</v>
      </c>
      <c r="G37" s="12">
        <v>1</v>
      </c>
      <c r="H37" t="s">
        <v>44</v>
      </c>
      <c r="I37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0</v>
      </c>
      <c r="H38" t="s">
        <v>62</v>
      </c>
      <c r="I38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1</v>
      </c>
      <c r="H39" t="s">
        <v>65</v>
      </c>
      <c r="I39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2</v>
      </c>
      <c r="F40" s="12" t="s">
        <v>145</v>
      </c>
      <c r="G40" s="12">
        <v>0</v>
      </c>
      <c r="H40" t="s">
        <v>55</v>
      </c>
      <c r="I40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2</v>
      </c>
      <c r="H41" t="s">
        <v>60</v>
      </c>
      <c r="I41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1</v>
      </c>
      <c r="H42" t="s">
        <v>78</v>
      </c>
      <c r="I42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1</v>
      </c>
      <c r="H44" t="s">
        <v>69</v>
      </c>
      <c r="I44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1</v>
      </c>
      <c r="H45" t="s">
        <v>76</v>
      </c>
      <c r="I45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2</v>
      </c>
      <c r="F46" s="12" t="s">
        <v>145</v>
      </c>
      <c r="G46" s="12">
        <v>0</v>
      </c>
      <c r="H46" t="s">
        <v>91</v>
      </c>
      <c r="I46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3</v>
      </c>
      <c r="F47" s="12" t="s">
        <v>145</v>
      </c>
      <c r="G47" s="12">
        <v>0</v>
      </c>
      <c r="H47" t="s">
        <v>88</v>
      </c>
      <c r="I47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0</v>
      </c>
      <c r="H49" t="s">
        <v>83</v>
      </c>
      <c r="I49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2</v>
      </c>
      <c r="H50" t="s">
        <v>23</v>
      </c>
      <c r="I50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1</v>
      </c>
      <c r="H51" t="s">
        <v>15</v>
      </c>
      <c r="I51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2</v>
      </c>
      <c r="H52" t="s">
        <v>27</v>
      </c>
      <c r="I52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2</v>
      </c>
      <c r="F53" s="12" t="s">
        <v>145</v>
      </c>
      <c r="G53" s="12">
        <v>0</v>
      </c>
      <c r="H53" t="s">
        <v>31</v>
      </c>
      <c r="I53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1</v>
      </c>
      <c r="H54" t="s">
        <v>11</v>
      </c>
      <c r="I54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2</v>
      </c>
      <c r="H55" t="s">
        <v>6</v>
      </c>
      <c r="I55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2</v>
      </c>
      <c r="H56" t="s">
        <v>47</v>
      </c>
      <c r="I56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2</v>
      </c>
      <c r="H57" t="s">
        <v>39</v>
      </c>
      <c r="I57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1</v>
      </c>
      <c r="H58" t="s">
        <v>51</v>
      </c>
      <c r="I58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2</v>
      </c>
      <c r="H59" t="s">
        <v>43</v>
      </c>
      <c r="I59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1</v>
      </c>
      <c r="H60" t="s">
        <v>34</v>
      </c>
      <c r="I60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2</v>
      </c>
      <c r="H61" t="s">
        <v>19</v>
      </c>
      <c r="I61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0</v>
      </c>
      <c r="F62" s="12" t="s">
        <v>145</v>
      </c>
      <c r="G62" s="12">
        <v>2</v>
      </c>
      <c r="H62" t="s">
        <v>68</v>
      </c>
      <c r="I62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1</v>
      </c>
      <c r="H63" t="s">
        <v>72</v>
      </c>
      <c r="I63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0</v>
      </c>
      <c r="F64" s="12" t="s">
        <v>145</v>
      </c>
      <c r="G64" s="12">
        <v>1</v>
      </c>
      <c r="H64" t="s">
        <v>62</v>
      </c>
      <c r="I64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1</v>
      </c>
      <c r="H65" t="s">
        <v>54</v>
      </c>
      <c r="I65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1</v>
      </c>
      <c r="H66" t="s">
        <v>65</v>
      </c>
      <c r="I66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3</v>
      </c>
      <c r="H67" t="s">
        <v>59</v>
      </c>
      <c r="I67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1</v>
      </c>
      <c r="H68" t="s">
        <v>88</v>
      </c>
      <c r="I68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1</v>
      </c>
      <c r="H70" t="s">
        <v>82</v>
      </c>
      <c r="I70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1</v>
      </c>
      <c r="H71" t="s">
        <v>91</v>
      </c>
      <c r="I71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2</v>
      </c>
      <c r="H72" t="s">
        <v>78</v>
      </c>
      <c r="I72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IF(OR(Tabela_33425[[#This Row],[Placar Mandante]]="",Tabela_33425[[#This Row],[Placar Visitante]]="",Tabela_3[[#This Row],[Placar Mandante]]="",Tabela_3[[#This Row],[Placar Visitante]]=""),0,
IF(AND(Tabela_33425[[#This Row],[Placar Mandante]]=Tabela_3[[#This Row],[Placar Mandante]],Tabela_33425[[#This Row],[Placar Visitante]]=Tabela_3[[#This Row],[Placar Visitante]]),3,
IF(SIGN(Tabela_33425[[#This Row],[Placar Mandante]]-Tabela_33425[[#This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91B6-2097-406B-A19E-EAEA62D010FD}">
  <sheetPr codeName="Planilha16"/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2</v>
      </c>
      <c r="F2" s="2" t="s">
        <v>145</v>
      </c>
      <c r="G2" s="12">
        <v>1</v>
      </c>
      <c r="H2" t="s">
        <v>7</v>
      </c>
      <c r="I2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  <c r="K2" s="3">
        <f>SUM(Tabela_3344[Pontuação])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1</v>
      </c>
      <c r="F3" s="2" t="s">
        <v>145</v>
      </c>
      <c r="G3" s="12">
        <v>1</v>
      </c>
      <c r="H3" t="s">
        <v>12</v>
      </c>
      <c r="I3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2</v>
      </c>
      <c r="F4" s="2" t="s">
        <v>145</v>
      </c>
      <c r="G4" s="12">
        <v>0</v>
      </c>
      <c r="H4" t="s">
        <v>16</v>
      </c>
      <c r="I4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2</v>
      </c>
      <c r="F5" s="2" t="s">
        <v>145</v>
      </c>
      <c r="G5" s="12">
        <v>1</v>
      </c>
      <c r="H5" t="s">
        <v>20</v>
      </c>
      <c r="I5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2</v>
      </c>
      <c r="H6" t="s">
        <v>24</v>
      </c>
      <c r="I6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3</v>
      </c>
      <c r="F7" s="2" t="s">
        <v>145</v>
      </c>
      <c r="G7" s="12">
        <v>1</v>
      </c>
      <c r="H7" t="s">
        <v>28</v>
      </c>
      <c r="I7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0</v>
      </c>
      <c r="F8" s="2" t="s">
        <v>145</v>
      </c>
      <c r="G8" s="12">
        <v>3</v>
      </c>
      <c r="H8" t="s">
        <v>32</v>
      </c>
      <c r="I8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1</v>
      </c>
      <c r="F9" s="2" t="s">
        <v>145</v>
      </c>
      <c r="G9" s="12">
        <v>2</v>
      </c>
      <c r="H9" t="s">
        <v>35</v>
      </c>
      <c r="I9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4</v>
      </c>
      <c r="F10" s="2" t="s">
        <v>145</v>
      </c>
      <c r="G10" s="12">
        <v>0</v>
      </c>
      <c r="H10" t="s">
        <v>40</v>
      </c>
      <c r="I10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2</v>
      </c>
      <c r="F11" s="2" t="s">
        <v>145</v>
      </c>
      <c r="G11" s="12">
        <v>1</v>
      </c>
      <c r="H11" t="s">
        <v>44</v>
      </c>
      <c r="I11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1</v>
      </c>
      <c r="F12" s="2" t="s">
        <v>145</v>
      </c>
      <c r="G12" s="12">
        <v>1</v>
      </c>
      <c r="H12" t="s">
        <v>48</v>
      </c>
      <c r="I12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2</v>
      </c>
      <c r="F13" s="2" t="s">
        <v>145</v>
      </c>
      <c r="G13" s="12">
        <v>0</v>
      </c>
      <c r="H13" t="s">
        <v>52</v>
      </c>
      <c r="I13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3</v>
      </c>
      <c r="F14" s="2" t="s">
        <v>145</v>
      </c>
      <c r="G14" s="12">
        <v>0</v>
      </c>
      <c r="H14" t="s">
        <v>55</v>
      </c>
      <c r="I14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2</v>
      </c>
      <c r="F15" s="2" t="s">
        <v>145</v>
      </c>
      <c r="G15" s="12">
        <v>1</v>
      </c>
      <c r="H15" t="s">
        <v>60</v>
      </c>
      <c r="I15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0</v>
      </c>
      <c r="F16" s="2" t="s">
        <v>145</v>
      </c>
      <c r="G16" s="12">
        <v>3</v>
      </c>
      <c r="H16" t="s">
        <v>63</v>
      </c>
      <c r="I16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2</v>
      </c>
      <c r="F17" s="2" t="s">
        <v>145</v>
      </c>
      <c r="G17" s="12">
        <v>0</v>
      </c>
      <c r="H17" t="s">
        <v>66</v>
      </c>
      <c r="I17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3</v>
      </c>
      <c r="F18" s="2" t="s">
        <v>145</v>
      </c>
      <c r="G18" s="12">
        <v>1</v>
      </c>
      <c r="H18" t="s">
        <v>69</v>
      </c>
      <c r="I18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1</v>
      </c>
      <c r="F19" s="2" t="s">
        <v>145</v>
      </c>
      <c r="G19" s="12">
        <v>2</v>
      </c>
      <c r="H19" t="s">
        <v>73</v>
      </c>
      <c r="I19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3</v>
      </c>
      <c r="F20" s="2" t="s">
        <v>145</v>
      </c>
      <c r="G20" s="12">
        <v>0</v>
      </c>
      <c r="H20" t="s">
        <v>76</v>
      </c>
      <c r="I20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2</v>
      </c>
      <c r="F21" s="2" t="s">
        <v>145</v>
      </c>
      <c r="G21" s="12">
        <v>0</v>
      </c>
      <c r="H21" t="s">
        <v>79</v>
      </c>
      <c r="I21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4</v>
      </c>
      <c r="F22" s="2" t="s">
        <v>145</v>
      </c>
      <c r="G22" s="12">
        <v>1</v>
      </c>
      <c r="H22" t="s">
        <v>83</v>
      </c>
      <c r="I22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2</v>
      </c>
      <c r="F23" s="2" t="s">
        <v>145</v>
      </c>
      <c r="G23" s="12">
        <v>1</v>
      </c>
      <c r="H23" t="s">
        <v>86</v>
      </c>
      <c r="I23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1</v>
      </c>
      <c r="F24" s="2" t="s">
        <v>145</v>
      </c>
      <c r="G24" s="12">
        <v>1</v>
      </c>
      <c r="H24" t="s">
        <v>89</v>
      </c>
      <c r="I24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2</v>
      </c>
      <c r="H25" t="s">
        <v>92</v>
      </c>
      <c r="I25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2</v>
      </c>
      <c r="F26" s="2" t="s">
        <v>145</v>
      </c>
      <c r="G26" s="12">
        <v>1</v>
      </c>
      <c r="H26" t="s">
        <v>7</v>
      </c>
      <c r="I26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2</v>
      </c>
      <c r="F27" s="2" t="s">
        <v>145</v>
      </c>
      <c r="G27" s="12">
        <v>0</v>
      </c>
      <c r="H27" t="s">
        <v>16</v>
      </c>
      <c r="I27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3</v>
      </c>
      <c r="F28" s="2" t="s">
        <v>145</v>
      </c>
      <c r="G28" s="12">
        <v>1</v>
      </c>
      <c r="H28" t="s">
        <v>23</v>
      </c>
      <c r="I28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2</v>
      </c>
      <c r="F29" s="2" t="s">
        <v>145</v>
      </c>
      <c r="G29" s="12">
        <v>1</v>
      </c>
      <c r="H29" t="s">
        <v>11</v>
      </c>
      <c r="I29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2</v>
      </c>
      <c r="F30" s="2" t="s">
        <v>145</v>
      </c>
      <c r="G30" s="12">
        <v>0</v>
      </c>
      <c r="H30" t="s">
        <v>34</v>
      </c>
      <c r="I30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1</v>
      </c>
      <c r="F31" s="2" t="s">
        <v>145</v>
      </c>
      <c r="G31" s="12">
        <v>1</v>
      </c>
      <c r="H31" t="s">
        <v>28</v>
      </c>
      <c r="I31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5</v>
      </c>
      <c r="F32" s="2" t="s">
        <v>145</v>
      </c>
      <c r="G32" s="12">
        <v>0</v>
      </c>
      <c r="H32" t="s">
        <v>31</v>
      </c>
      <c r="I32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2</v>
      </c>
      <c r="F33" s="2" t="s">
        <v>145</v>
      </c>
      <c r="G33" s="12">
        <v>1</v>
      </c>
      <c r="H33" t="s">
        <v>20</v>
      </c>
      <c r="I33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2</v>
      </c>
      <c r="F34" s="2" t="s">
        <v>145</v>
      </c>
      <c r="G34" s="12">
        <v>2</v>
      </c>
      <c r="H34" t="s">
        <v>51</v>
      </c>
      <c r="I34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3</v>
      </c>
      <c r="F35" s="2" t="s">
        <v>145</v>
      </c>
      <c r="G35" s="12">
        <v>1</v>
      </c>
      <c r="H35" t="s">
        <v>47</v>
      </c>
      <c r="I35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4</v>
      </c>
      <c r="F36" s="2" t="s">
        <v>145</v>
      </c>
      <c r="G36" s="12">
        <v>0</v>
      </c>
      <c r="H36" t="s">
        <v>40</v>
      </c>
      <c r="I36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1</v>
      </c>
      <c r="F37" s="2" t="s">
        <v>145</v>
      </c>
      <c r="G37" s="12">
        <v>2</v>
      </c>
      <c r="H37" t="s">
        <v>44</v>
      </c>
      <c r="I37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3</v>
      </c>
      <c r="F38" s="2" t="s">
        <v>145</v>
      </c>
      <c r="G38" s="12">
        <v>0</v>
      </c>
      <c r="H38" t="s">
        <v>62</v>
      </c>
      <c r="I38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2</v>
      </c>
      <c r="F39" s="2" t="s">
        <v>145</v>
      </c>
      <c r="G39" s="12">
        <v>0</v>
      </c>
      <c r="H39" t="s">
        <v>65</v>
      </c>
      <c r="I39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4</v>
      </c>
      <c r="F40" s="2" t="s">
        <v>145</v>
      </c>
      <c r="G40" s="12">
        <v>1</v>
      </c>
      <c r="H40" t="s">
        <v>55</v>
      </c>
      <c r="I40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0</v>
      </c>
      <c r="F41" s="2" t="s">
        <v>145</v>
      </c>
      <c r="G41" s="12">
        <v>2</v>
      </c>
      <c r="H41" t="s">
        <v>60</v>
      </c>
      <c r="I41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3</v>
      </c>
      <c r="F42" s="2" t="s">
        <v>145</v>
      </c>
      <c r="G42" s="12">
        <v>1</v>
      </c>
      <c r="H42" t="s">
        <v>78</v>
      </c>
      <c r="I42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3</v>
      </c>
      <c r="F43" s="2" t="s">
        <v>145</v>
      </c>
      <c r="G43" s="12">
        <v>0</v>
      </c>
      <c r="H43" t="s">
        <v>72</v>
      </c>
      <c r="I43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2</v>
      </c>
      <c r="F44" s="2" t="s">
        <v>145</v>
      </c>
      <c r="G44" s="12">
        <v>1</v>
      </c>
      <c r="H44" t="s">
        <v>69</v>
      </c>
      <c r="I44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1</v>
      </c>
      <c r="F45" s="2" t="s">
        <v>145</v>
      </c>
      <c r="G45" s="12">
        <v>2</v>
      </c>
      <c r="H45" t="s">
        <v>76</v>
      </c>
      <c r="I45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3</v>
      </c>
      <c r="F46" s="2" t="s">
        <v>145</v>
      </c>
      <c r="G46" s="12">
        <v>0</v>
      </c>
      <c r="H46" t="s">
        <v>91</v>
      </c>
      <c r="I46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2</v>
      </c>
      <c r="F47" s="2" t="s">
        <v>145</v>
      </c>
      <c r="G47" s="12">
        <v>0</v>
      </c>
      <c r="H47" t="s">
        <v>88</v>
      </c>
      <c r="I47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1</v>
      </c>
      <c r="F48" s="2" t="s">
        <v>145</v>
      </c>
      <c r="G48" s="12">
        <v>2</v>
      </c>
      <c r="H48" t="s">
        <v>86</v>
      </c>
      <c r="I48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3</v>
      </c>
      <c r="F49" s="2" t="s">
        <v>145</v>
      </c>
      <c r="G49" s="12">
        <v>1</v>
      </c>
      <c r="H49" t="s">
        <v>83</v>
      </c>
      <c r="I49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1</v>
      </c>
      <c r="F50" s="2" t="s">
        <v>145</v>
      </c>
      <c r="G50" s="12">
        <v>1</v>
      </c>
      <c r="H50" t="s">
        <v>23</v>
      </c>
      <c r="I50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1</v>
      </c>
      <c r="F51" s="2" t="s">
        <v>145</v>
      </c>
      <c r="G51" s="12">
        <v>1</v>
      </c>
      <c r="H51" t="s">
        <v>15</v>
      </c>
      <c r="I51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1</v>
      </c>
      <c r="F52" s="2" t="s">
        <v>145</v>
      </c>
      <c r="G52" s="12">
        <v>3</v>
      </c>
      <c r="H52" t="s">
        <v>27</v>
      </c>
      <c r="I52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3</v>
      </c>
      <c r="F53" s="2" t="s">
        <v>145</v>
      </c>
      <c r="G53" s="12">
        <v>0</v>
      </c>
      <c r="H53" t="s">
        <v>31</v>
      </c>
      <c r="I53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1</v>
      </c>
      <c r="F54" s="2" t="s">
        <v>145</v>
      </c>
      <c r="G54" s="12">
        <v>2</v>
      </c>
      <c r="H54" t="s">
        <v>11</v>
      </c>
      <c r="I54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1</v>
      </c>
      <c r="F55" s="2" t="s">
        <v>145</v>
      </c>
      <c r="G55" s="12">
        <v>2</v>
      </c>
      <c r="H55" t="s">
        <v>6</v>
      </c>
      <c r="I55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0</v>
      </c>
      <c r="F56" s="2" t="s">
        <v>145</v>
      </c>
      <c r="G56" s="12">
        <v>2</v>
      </c>
      <c r="H56" t="s">
        <v>47</v>
      </c>
      <c r="I56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1</v>
      </c>
      <c r="F57" s="2" t="s">
        <v>145</v>
      </c>
      <c r="G57" s="12">
        <v>2</v>
      </c>
      <c r="H57" t="s">
        <v>39</v>
      </c>
      <c r="I57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2</v>
      </c>
      <c r="F58" s="2" t="s">
        <v>145</v>
      </c>
      <c r="G58" s="12">
        <v>1</v>
      </c>
      <c r="H58" t="s">
        <v>51</v>
      </c>
      <c r="I58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0</v>
      </c>
      <c r="F59" s="2" t="s">
        <v>145</v>
      </c>
      <c r="G59" s="12">
        <v>2</v>
      </c>
      <c r="H59" t="s">
        <v>43</v>
      </c>
      <c r="I59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1</v>
      </c>
      <c r="F60" s="2" t="s">
        <v>145</v>
      </c>
      <c r="G60" s="12">
        <v>1</v>
      </c>
      <c r="H60" t="s">
        <v>34</v>
      </c>
      <c r="I60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1</v>
      </c>
      <c r="F61" s="2" t="s">
        <v>145</v>
      </c>
      <c r="G61" s="12">
        <v>2</v>
      </c>
      <c r="H61" t="s">
        <v>19</v>
      </c>
      <c r="I61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1</v>
      </c>
      <c r="F62" s="2" t="s">
        <v>145</v>
      </c>
      <c r="G62" s="12">
        <v>2</v>
      </c>
      <c r="H62" t="s">
        <v>68</v>
      </c>
      <c r="I62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2</v>
      </c>
      <c r="F63" s="2" t="s">
        <v>145</v>
      </c>
      <c r="G63" s="12">
        <v>0</v>
      </c>
      <c r="H63" t="s">
        <v>72</v>
      </c>
      <c r="I63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1</v>
      </c>
      <c r="F64" s="2" t="s">
        <v>145</v>
      </c>
      <c r="G64" s="12">
        <v>1</v>
      </c>
      <c r="H64" t="s">
        <v>62</v>
      </c>
      <c r="I64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1</v>
      </c>
      <c r="F65" s="2" t="s">
        <v>145</v>
      </c>
      <c r="G65" s="12">
        <v>2</v>
      </c>
      <c r="H65" t="s">
        <v>54</v>
      </c>
      <c r="I65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1</v>
      </c>
      <c r="F66" s="2" t="s">
        <v>145</v>
      </c>
      <c r="G66" s="12">
        <v>1</v>
      </c>
      <c r="H66" t="s">
        <v>65</v>
      </c>
      <c r="I66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0</v>
      </c>
      <c r="F67" s="2" t="s">
        <v>145</v>
      </c>
      <c r="G67" s="12">
        <v>3</v>
      </c>
      <c r="H67" t="s">
        <v>59</v>
      </c>
      <c r="I67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2</v>
      </c>
      <c r="F68" s="2" t="s">
        <v>145</v>
      </c>
      <c r="G68" s="12">
        <v>0</v>
      </c>
      <c r="H68" t="s">
        <v>88</v>
      </c>
      <c r="I68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0</v>
      </c>
      <c r="F69" s="2" t="s">
        <v>145</v>
      </c>
      <c r="G69" s="12">
        <v>3</v>
      </c>
      <c r="H69" t="s">
        <v>85</v>
      </c>
      <c r="I69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1</v>
      </c>
      <c r="F70" s="2" t="s">
        <v>145</v>
      </c>
      <c r="G70" s="12">
        <v>2</v>
      </c>
      <c r="H70" t="s">
        <v>82</v>
      </c>
      <c r="I70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1</v>
      </c>
      <c r="F71" s="2" t="s">
        <v>145</v>
      </c>
      <c r="G71" s="12">
        <v>1</v>
      </c>
      <c r="H71" t="s">
        <v>91</v>
      </c>
      <c r="I71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1</v>
      </c>
      <c r="F72" s="2" t="s">
        <v>145</v>
      </c>
      <c r="G72" s="12">
        <v>3</v>
      </c>
      <c r="H72" t="s">
        <v>78</v>
      </c>
      <c r="I72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1</v>
      </c>
      <c r="F73" s="2" t="s">
        <v>145</v>
      </c>
      <c r="G73" s="12">
        <v>2</v>
      </c>
      <c r="H73" t="s">
        <v>75</v>
      </c>
      <c r="I73" s="2">
        <f>IF(OR(Tabela_3344[[#This Row],[Placar Mandante]]="",Tabela_3344[[#This Row],[Placar Visitante]]="",Tabela_3[[#This Row],[Placar Mandante]]="",Tabela_3[[#This Row],[Placar Visitante]]=""),0,
IF(AND(Tabela_3344[[#This Row],[Placar Mandante]]=Tabela_3[[#This Row],[Placar Mandante]],Tabela_3344[[#This Row],[Placar Visitante]]=Tabela_3[[#This Row],[Placar Visitante]]),3,
IF(SIGN(Tabela_3344[[#This Row],[Placar Mandante]]-Tabela_3344[[#This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4D63-32D4-4BF7-AC94-12BC192DC5F8}">
  <dimension ref="A1:K73"/>
  <sheetViews>
    <sheetView topLeftCell="B1" zoomScaleNormal="100" workbookViewId="0">
      <selection activeCell="H75" sqref="H75"/>
    </sheetView>
  </sheetViews>
  <sheetFormatPr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2.4414062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3</v>
      </c>
      <c r="F2" s="12" t="s">
        <v>145</v>
      </c>
      <c r="G2" s="12">
        <v>1</v>
      </c>
      <c r="H2" t="s">
        <v>7</v>
      </c>
      <c r="I2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  <c r="J2" s="13"/>
      <c r="K2" s="3">
        <f>SUM(Tabela_33427[Pontuação])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2</v>
      </c>
      <c r="H3" t="s">
        <v>12</v>
      </c>
      <c r="I3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0</v>
      </c>
      <c r="H4" t="s">
        <v>16</v>
      </c>
      <c r="I4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2</v>
      </c>
      <c r="H5" t="s">
        <v>20</v>
      </c>
      <c r="I5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3</v>
      </c>
      <c r="H6" t="s">
        <v>24</v>
      </c>
      <c r="I6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3</v>
      </c>
      <c r="F7" s="12" t="s">
        <v>145</v>
      </c>
      <c r="G7" s="12">
        <v>1</v>
      </c>
      <c r="H7" t="s">
        <v>28</v>
      </c>
      <c r="I7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1</v>
      </c>
      <c r="H8" t="s">
        <v>32</v>
      </c>
      <c r="I8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0</v>
      </c>
      <c r="H9" t="s">
        <v>35</v>
      </c>
      <c r="I9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5</v>
      </c>
      <c r="F10" s="12" t="s">
        <v>145</v>
      </c>
      <c r="G10" s="12">
        <v>0</v>
      </c>
      <c r="H10" t="s">
        <v>40</v>
      </c>
      <c r="I10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0</v>
      </c>
      <c r="F11" s="12" t="s">
        <v>145</v>
      </c>
      <c r="G11" s="12">
        <v>2</v>
      </c>
      <c r="H11" t="s">
        <v>44</v>
      </c>
      <c r="I11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0</v>
      </c>
      <c r="H12" t="s">
        <v>48</v>
      </c>
      <c r="I12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2</v>
      </c>
      <c r="F13" s="12" t="s">
        <v>145</v>
      </c>
      <c r="G13" s="12">
        <v>1</v>
      </c>
      <c r="H13" t="s">
        <v>52</v>
      </c>
      <c r="I13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6</v>
      </c>
      <c r="F14" s="12" t="s">
        <v>145</v>
      </c>
      <c r="G14" s="12">
        <v>1</v>
      </c>
      <c r="H14" t="s">
        <v>55</v>
      </c>
      <c r="I14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3</v>
      </c>
      <c r="F15" s="12" t="s">
        <v>145</v>
      </c>
      <c r="G15" s="12">
        <v>0</v>
      </c>
      <c r="H15" t="s">
        <v>60</v>
      </c>
      <c r="I15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0</v>
      </c>
      <c r="H17" t="s">
        <v>66</v>
      </c>
      <c r="I17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3</v>
      </c>
      <c r="F18" s="12" t="s">
        <v>145</v>
      </c>
      <c r="G18" s="12">
        <v>2</v>
      </c>
      <c r="H18" t="s">
        <v>69</v>
      </c>
      <c r="I18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1</v>
      </c>
      <c r="H19" t="s">
        <v>73</v>
      </c>
      <c r="I19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6</v>
      </c>
      <c r="F20" s="12" t="s">
        <v>145</v>
      </c>
      <c r="G20" s="12">
        <v>2</v>
      </c>
      <c r="H20" t="s">
        <v>76</v>
      </c>
      <c r="I20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1</v>
      </c>
      <c r="F21" s="12" t="s">
        <v>145</v>
      </c>
      <c r="G21" s="12">
        <v>0</v>
      </c>
      <c r="H21" t="s">
        <v>79</v>
      </c>
      <c r="I21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4</v>
      </c>
      <c r="F22" s="12" t="s">
        <v>145</v>
      </c>
      <c r="G22" s="12">
        <v>1</v>
      </c>
      <c r="H22" t="s">
        <v>83</v>
      </c>
      <c r="I22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4</v>
      </c>
      <c r="F23" s="12" t="s">
        <v>145</v>
      </c>
      <c r="G23" s="12">
        <v>0</v>
      </c>
      <c r="H23" t="s">
        <v>86</v>
      </c>
      <c r="I23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3</v>
      </c>
      <c r="F24" s="12" t="s">
        <v>145</v>
      </c>
      <c r="G24" s="12">
        <v>0</v>
      </c>
      <c r="H24" t="s">
        <v>89</v>
      </c>
      <c r="I24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0</v>
      </c>
      <c r="F26" s="12" t="s">
        <v>145</v>
      </c>
      <c r="G26" s="12">
        <v>1</v>
      </c>
      <c r="H26" t="s">
        <v>7</v>
      </c>
      <c r="I26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1</v>
      </c>
      <c r="F27" s="12" t="s">
        <v>145</v>
      </c>
      <c r="G27" s="12">
        <v>0</v>
      </c>
      <c r="H27" t="s">
        <v>16</v>
      </c>
      <c r="I27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0</v>
      </c>
      <c r="F28" s="12" t="s">
        <v>145</v>
      </c>
      <c r="G28" s="12">
        <v>2</v>
      </c>
      <c r="H28" t="s">
        <v>23</v>
      </c>
      <c r="I28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0</v>
      </c>
      <c r="H29" t="s">
        <v>11</v>
      </c>
      <c r="I29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3</v>
      </c>
      <c r="F30" s="12" t="s">
        <v>145</v>
      </c>
      <c r="G30" s="12">
        <v>1</v>
      </c>
      <c r="H30" t="s">
        <v>34</v>
      </c>
      <c r="I30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4</v>
      </c>
      <c r="F31" s="12" t="s">
        <v>145</v>
      </c>
      <c r="G31" s="12">
        <v>2</v>
      </c>
      <c r="H31" t="s">
        <v>28</v>
      </c>
      <c r="I31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6</v>
      </c>
      <c r="F32" s="12" t="s">
        <v>145</v>
      </c>
      <c r="G32" s="12">
        <v>1</v>
      </c>
      <c r="H32" t="s">
        <v>31</v>
      </c>
      <c r="I32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3</v>
      </c>
      <c r="H33" t="s">
        <v>20</v>
      </c>
      <c r="I33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3</v>
      </c>
      <c r="H34" t="s">
        <v>51</v>
      </c>
      <c r="I34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3</v>
      </c>
      <c r="F35" s="12" t="s">
        <v>145</v>
      </c>
      <c r="G35" s="12">
        <v>0</v>
      </c>
      <c r="H35" t="s">
        <v>47</v>
      </c>
      <c r="I35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1</v>
      </c>
      <c r="H36" t="s">
        <v>40</v>
      </c>
      <c r="I36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2</v>
      </c>
      <c r="H37" t="s">
        <v>44</v>
      </c>
      <c r="I37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4</v>
      </c>
      <c r="F38" s="12" t="s">
        <v>145</v>
      </c>
      <c r="G38" s="12">
        <v>1</v>
      </c>
      <c r="H38" t="s">
        <v>62</v>
      </c>
      <c r="I38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3</v>
      </c>
      <c r="H39" t="s">
        <v>65</v>
      </c>
      <c r="I39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0</v>
      </c>
      <c r="H40" t="s">
        <v>55</v>
      </c>
      <c r="I40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1</v>
      </c>
      <c r="H41" t="s">
        <v>60</v>
      </c>
      <c r="I41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4</v>
      </c>
      <c r="F42" s="12" t="s">
        <v>145</v>
      </c>
      <c r="G42" s="12">
        <v>1</v>
      </c>
      <c r="H42" t="s">
        <v>78</v>
      </c>
      <c r="I42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0</v>
      </c>
      <c r="F44" s="12" t="s">
        <v>145</v>
      </c>
      <c r="G44" s="12">
        <v>2</v>
      </c>
      <c r="H44" t="s">
        <v>69</v>
      </c>
      <c r="I44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0</v>
      </c>
      <c r="H45" t="s">
        <v>76</v>
      </c>
      <c r="I45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2</v>
      </c>
      <c r="F46" s="12" t="s">
        <v>145</v>
      </c>
      <c r="G46" s="12">
        <v>0</v>
      </c>
      <c r="H46" t="s">
        <v>91</v>
      </c>
      <c r="I46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3</v>
      </c>
      <c r="F47" s="12" t="s">
        <v>145</v>
      </c>
      <c r="G47" s="12">
        <v>1</v>
      </c>
      <c r="H47" t="s">
        <v>88</v>
      </c>
      <c r="I47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1</v>
      </c>
      <c r="H48" t="s">
        <v>86</v>
      </c>
      <c r="I48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0</v>
      </c>
      <c r="F49" s="12" t="s">
        <v>145</v>
      </c>
      <c r="G49" s="12">
        <v>1</v>
      </c>
      <c r="H49" t="s">
        <v>83</v>
      </c>
      <c r="I49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0</v>
      </c>
      <c r="F50" s="12" t="s">
        <v>145</v>
      </c>
      <c r="G50" s="12">
        <v>0</v>
      </c>
      <c r="H50" t="s">
        <v>23</v>
      </c>
      <c r="I50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1</v>
      </c>
      <c r="H51" t="s">
        <v>15</v>
      </c>
      <c r="I51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4</v>
      </c>
      <c r="H52" t="s">
        <v>27</v>
      </c>
      <c r="I52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0</v>
      </c>
      <c r="H53" t="s">
        <v>31</v>
      </c>
      <c r="I53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2</v>
      </c>
      <c r="F54" s="12" t="s">
        <v>145</v>
      </c>
      <c r="G54" s="12">
        <v>1</v>
      </c>
      <c r="H54" t="s">
        <v>11</v>
      </c>
      <c r="I54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2</v>
      </c>
      <c r="H55" t="s">
        <v>6</v>
      </c>
      <c r="I55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2</v>
      </c>
      <c r="F56" s="12" t="s">
        <v>145</v>
      </c>
      <c r="G56" s="12">
        <v>2</v>
      </c>
      <c r="H56" t="s">
        <v>47</v>
      </c>
      <c r="I56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5</v>
      </c>
      <c r="H57" t="s">
        <v>39</v>
      </c>
      <c r="I57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3</v>
      </c>
      <c r="F58" s="12" t="s">
        <v>145</v>
      </c>
      <c r="G58" s="12">
        <v>2</v>
      </c>
      <c r="H58" t="s">
        <v>51</v>
      </c>
      <c r="I58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0</v>
      </c>
      <c r="H59" t="s">
        <v>43</v>
      </c>
      <c r="I59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2</v>
      </c>
      <c r="F60" s="12" t="s">
        <v>145</v>
      </c>
      <c r="G60" s="12">
        <v>1</v>
      </c>
      <c r="H60" t="s">
        <v>34</v>
      </c>
      <c r="I60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3</v>
      </c>
      <c r="H61" t="s">
        <v>19</v>
      </c>
      <c r="I61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3</v>
      </c>
      <c r="H62" t="s">
        <v>68</v>
      </c>
      <c r="I62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3</v>
      </c>
      <c r="F63" s="12" t="s">
        <v>145</v>
      </c>
      <c r="G63" s="12">
        <v>0</v>
      </c>
      <c r="H63" t="s">
        <v>72</v>
      </c>
      <c r="I63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2</v>
      </c>
      <c r="H64" t="s">
        <v>62</v>
      </c>
      <c r="I64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2</v>
      </c>
      <c r="F65" s="12" t="s">
        <v>145</v>
      </c>
      <c r="G65" s="12">
        <v>3</v>
      </c>
      <c r="H65" t="s">
        <v>54</v>
      </c>
      <c r="I65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0</v>
      </c>
      <c r="F66" s="12" t="s">
        <v>145</v>
      </c>
      <c r="G66" s="12">
        <v>1</v>
      </c>
      <c r="H66" t="s">
        <v>65</v>
      </c>
      <c r="I66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2</v>
      </c>
      <c r="H67" t="s">
        <v>59</v>
      </c>
      <c r="I67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0</v>
      </c>
      <c r="F68" s="12" t="s">
        <v>145</v>
      </c>
      <c r="G68" s="12">
        <v>3</v>
      </c>
      <c r="H68" t="s">
        <v>88</v>
      </c>
      <c r="I68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5</v>
      </c>
      <c r="H69" t="s">
        <v>85</v>
      </c>
      <c r="I69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2</v>
      </c>
      <c r="F70" s="12" t="s">
        <v>145</v>
      </c>
      <c r="G70" s="12">
        <v>4</v>
      </c>
      <c r="H70" t="s">
        <v>82</v>
      </c>
      <c r="I70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2</v>
      </c>
      <c r="F71" s="12" t="s">
        <v>145</v>
      </c>
      <c r="G71" s="12">
        <v>0</v>
      </c>
      <c r="H71" t="s">
        <v>91</v>
      </c>
      <c r="I71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0</v>
      </c>
      <c r="H72" t="s">
        <v>78</v>
      </c>
      <c r="I72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4</v>
      </c>
      <c r="H73" t="s">
        <v>75</v>
      </c>
      <c r="I73" s="12">
        <f>IF(OR(Tabela_33427[[#This Row],[Placar Mandante]]="",Tabela_33427[[#This Row],[Placar Visitante]]="",Tabela_3[[#This Row],[Placar Mandante]]="",Tabela_3[[#This Row],[Placar Visitante]]=""),0,
IF(AND(Tabela_33427[[#This Row],[Placar Mandante]]=Tabela_3[[#This Row],[Placar Mandante]],Tabela_33427[[#This Row],[Placar Visitante]]=Tabela_3[[#This Row],[Placar Visitante]]),3,
IF(SIGN(Tabela_33427[[#This Row],[Placar Mandante]]-Tabela_33427[[#This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200" verticalDpi="200"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1D8D-868B-4EFF-952B-BD5F135A5F5D}">
  <dimension ref="A1:K73"/>
  <sheetViews>
    <sheetView topLeftCell="B1" zoomScaleNormal="100" workbookViewId="0">
      <selection activeCell="H75" sqref="H75"/>
    </sheetView>
  </sheetViews>
  <sheetFormatPr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3.554687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0</v>
      </c>
      <c r="H2" t="s">
        <v>7</v>
      </c>
      <c r="I2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  <c r="J2" s="13"/>
      <c r="K2" s="3">
        <f>SUM(Tabela_33428[Pontuação])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2</v>
      </c>
      <c r="F3" s="12" t="s">
        <v>145</v>
      </c>
      <c r="G3" s="12">
        <v>1</v>
      </c>
      <c r="H3" t="s">
        <v>12</v>
      </c>
      <c r="I3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2</v>
      </c>
      <c r="H4" t="s">
        <v>16</v>
      </c>
      <c r="I4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3</v>
      </c>
      <c r="F5" s="12" t="s">
        <v>145</v>
      </c>
      <c r="G5" s="12">
        <v>1</v>
      </c>
      <c r="H5" t="s">
        <v>20</v>
      </c>
      <c r="I5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0</v>
      </c>
      <c r="H7" t="s">
        <v>28</v>
      </c>
      <c r="I7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1</v>
      </c>
      <c r="H8" t="s">
        <v>32</v>
      </c>
      <c r="I8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3</v>
      </c>
      <c r="H9" t="s">
        <v>35</v>
      </c>
      <c r="I9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5</v>
      </c>
      <c r="F10" s="12" t="s">
        <v>145</v>
      </c>
      <c r="G10" s="12">
        <v>0</v>
      </c>
      <c r="H10" t="s">
        <v>40</v>
      </c>
      <c r="I10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3</v>
      </c>
      <c r="H11" t="s">
        <v>44</v>
      </c>
      <c r="I11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1</v>
      </c>
      <c r="H12" t="s">
        <v>48</v>
      </c>
      <c r="I12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2</v>
      </c>
      <c r="H13" t="s">
        <v>52</v>
      </c>
      <c r="I13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0</v>
      </c>
      <c r="H14" t="s">
        <v>55</v>
      </c>
      <c r="I14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0</v>
      </c>
      <c r="H15" t="s">
        <v>60</v>
      </c>
      <c r="I15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0</v>
      </c>
      <c r="H17" t="s">
        <v>66</v>
      </c>
      <c r="I17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3</v>
      </c>
      <c r="F18" s="12" t="s">
        <v>145</v>
      </c>
      <c r="G18" s="12">
        <v>2</v>
      </c>
      <c r="H18" t="s">
        <v>69</v>
      </c>
      <c r="I18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4</v>
      </c>
      <c r="H19" t="s">
        <v>73</v>
      </c>
      <c r="I19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1</v>
      </c>
      <c r="H20" t="s">
        <v>76</v>
      </c>
      <c r="I20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0</v>
      </c>
      <c r="F21" s="12" t="s">
        <v>145</v>
      </c>
      <c r="G21" s="12">
        <v>1</v>
      </c>
      <c r="H21" t="s">
        <v>79</v>
      </c>
      <c r="I21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2</v>
      </c>
      <c r="F22" s="12" t="s">
        <v>145</v>
      </c>
      <c r="G22" s="12">
        <v>1</v>
      </c>
      <c r="H22" t="s">
        <v>83</v>
      </c>
      <c r="I22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3</v>
      </c>
      <c r="F23" s="12" t="s">
        <v>145</v>
      </c>
      <c r="G23" s="12">
        <v>3</v>
      </c>
      <c r="H23" t="s">
        <v>86</v>
      </c>
      <c r="I23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3</v>
      </c>
      <c r="F24" s="12" t="s">
        <v>145</v>
      </c>
      <c r="G24" s="12">
        <v>1</v>
      </c>
      <c r="H24" t="s">
        <v>89</v>
      </c>
      <c r="I24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1</v>
      </c>
      <c r="F25" s="12" t="s">
        <v>145</v>
      </c>
      <c r="G25" s="12">
        <v>4</v>
      </c>
      <c r="H25" t="s">
        <v>92</v>
      </c>
      <c r="I25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2</v>
      </c>
      <c r="H26" t="s">
        <v>7</v>
      </c>
      <c r="I26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3</v>
      </c>
      <c r="H27" t="s">
        <v>16</v>
      </c>
      <c r="I27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4</v>
      </c>
      <c r="F28" s="12" t="s">
        <v>145</v>
      </c>
      <c r="G28" s="12">
        <v>0</v>
      </c>
      <c r="H28" t="s">
        <v>23</v>
      </c>
      <c r="I28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3</v>
      </c>
      <c r="H29" t="s">
        <v>11</v>
      </c>
      <c r="I29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3</v>
      </c>
      <c r="F30" s="12" t="s">
        <v>145</v>
      </c>
      <c r="G30" s="12">
        <v>2</v>
      </c>
      <c r="H30" t="s">
        <v>34</v>
      </c>
      <c r="I30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2</v>
      </c>
      <c r="F31" s="12" t="s">
        <v>145</v>
      </c>
      <c r="G31" s="12">
        <v>2</v>
      </c>
      <c r="H31" t="s">
        <v>28</v>
      </c>
      <c r="I31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0</v>
      </c>
      <c r="H32" t="s">
        <v>31</v>
      </c>
      <c r="I32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3</v>
      </c>
      <c r="F33" s="12" t="s">
        <v>145</v>
      </c>
      <c r="G33" s="12">
        <v>2</v>
      </c>
      <c r="H33" t="s">
        <v>20</v>
      </c>
      <c r="I33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3</v>
      </c>
      <c r="F34" s="12" t="s">
        <v>145</v>
      </c>
      <c r="G34" s="12">
        <v>1</v>
      </c>
      <c r="H34" t="s">
        <v>51</v>
      </c>
      <c r="I34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1</v>
      </c>
      <c r="H35" t="s">
        <v>47</v>
      </c>
      <c r="I35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0</v>
      </c>
      <c r="F37" s="12" t="s">
        <v>145</v>
      </c>
      <c r="G37" s="12">
        <v>3</v>
      </c>
      <c r="H37" t="s">
        <v>44</v>
      </c>
      <c r="I37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2</v>
      </c>
      <c r="H38" t="s">
        <v>62</v>
      </c>
      <c r="I38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0</v>
      </c>
      <c r="F39" s="12" t="s">
        <v>145</v>
      </c>
      <c r="G39" s="12">
        <v>2</v>
      </c>
      <c r="H39" t="s">
        <v>65</v>
      </c>
      <c r="I39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1</v>
      </c>
      <c r="H40" t="s">
        <v>55</v>
      </c>
      <c r="I40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0</v>
      </c>
      <c r="H41" t="s">
        <v>60</v>
      </c>
      <c r="I41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1</v>
      </c>
      <c r="H42" t="s">
        <v>78</v>
      </c>
      <c r="I42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3</v>
      </c>
      <c r="H44" t="s">
        <v>69</v>
      </c>
      <c r="I44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1</v>
      </c>
      <c r="H45" t="s">
        <v>76</v>
      </c>
      <c r="I45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2</v>
      </c>
      <c r="F46" s="12" t="s">
        <v>145</v>
      </c>
      <c r="G46" s="12">
        <v>1</v>
      </c>
      <c r="H46" t="s">
        <v>91</v>
      </c>
      <c r="I46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3</v>
      </c>
      <c r="F47" s="12" t="s">
        <v>145</v>
      </c>
      <c r="G47" s="12">
        <v>2</v>
      </c>
      <c r="H47" t="s">
        <v>88</v>
      </c>
      <c r="I47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1</v>
      </c>
      <c r="F48" s="12" t="s">
        <v>145</v>
      </c>
      <c r="G48" s="12">
        <v>3</v>
      </c>
      <c r="H48" t="s">
        <v>86</v>
      </c>
      <c r="I48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0</v>
      </c>
      <c r="H49" t="s">
        <v>83</v>
      </c>
      <c r="I49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2</v>
      </c>
      <c r="F50" s="12" t="s">
        <v>145</v>
      </c>
      <c r="G50" s="12">
        <v>1</v>
      </c>
      <c r="H50" t="s">
        <v>23</v>
      </c>
      <c r="I50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2</v>
      </c>
      <c r="F51" s="12" t="s">
        <v>145</v>
      </c>
      <c r="G51" s="12">
        <v>2</v>
      </c>
      <c r="H51" t="s">
        <v>15</v>
      </c>
      <c r="I51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2</v>
      </c>
      <c r="H52" t="s">
        <v>27</v>
      </c>
      <c r="I52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4</v>
      </c>
      <c r="F53" s="12" t="s">
        <v>145</v>
      </c>
      <c r="G53" s="12">
        <v>1</v>
      </c>
      <c r="H53" t="s">
        <v>31</v>
      </c>
      <c r="I53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3</v>
      </c>
      <c r="F54" s="12" t="s">
        <v>145</v>
      </c>
      <c r="G54" s="12">
        <v>2</v>
      </c>
      <c r="H54" t="s">
        <v>11</v>
      </c>
      <c r="I54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2</v>
      </c>
      <c r="H55" t="s">
        <v>6</v>
      </c>
      <c r="I55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2</v>
      </c>
      <c r="H56" t="s">
        <v>47</v>
      </c>
      <c r="I56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2</v>
      </c>
      <c r="F57" s="12" t="s">
        <v>145</v>
      </c>
      <c r="G57" s="12">
        <v>3</v>
      </c>
      <c r="H57" t="s">
        <v>39</v>
      </c>
      <c r="I57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2</v>
      </c>
      <c r="H58" t="s">
        <v>51</v>
      </c>
      <c r="I58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2</v>
      </c>
      <c r="F59" s="12" t="s">
        <v>145</v>
      </c>
      <c r="G59" s="12">
        <v>4</v>
      </c>
      <c r="H59" t="s">
        <v>43</v>
      </c>
      <c r="I59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2</v>
      </c>
      <c r="F60" s="12" t="s">
        <v>145</v>
      </c>
      <c r="G60" s="12">
        <v>2</v>
      </c>
      <c r="H60" t="s">
        <v>34</v>
      </c>
      <c r="I60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2</v>
      </c>
      <c r="F61" s="12" t="s">
        <v>145</v>
      </c>
      <c r="G61" s="12">
        <v>1</v>
      </c>
      <c r="H61" t="s">
        <v>19</v>
      </c>
      <c r="I61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2</v>
      </c>
      <c r="F62" s="12" t="s">
        <v>145</v>
      </c>
      <c r="G62" s="12">
        <v>0</v>
      </c>
      <c r="H62" t="s">
        <v>68</v>
      </c>
      <c r="I62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3</v>
      </c>
      <c r="F63" s="12" t="s">
        <v>145</v>
      </c>
      <c r="G63" s="12">
        <v>0</v>
      </c>
      <c r="H63" t="s">
        <v>72</v>
      </c>
      <c r="I63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2</v>
      </c>
      <c r="H64" t="s">
        <v>62</v>
      </c>
      <c r="I64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2</v>
      </c>
      <c r="F65" s="12" t="s">
        <v>145</v>
      </c>
      <c r="G65" s="12">
        <v>3</v>
      </c>
      <c r="H65" t="s">
        <v>54</v>
      </c>
      <c r="I65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2</v>
      </c>
      <c r="F66" s="12" t="s">
        <v>145</v>
      </c>
      <c r="G66" s="12">
        <v>1</v>
      </c>
      <c r="H66" t="s">
        <v>65</v>
      </c>
      <c r="I66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1</v>
      </c>
      <c r="F67" s="12" t="s">
        <v>145</v>
      </c>
      <c r="G67" s="12">
        <v>3</v>
      </c>
      <c r="H67" t="s">
        <v>59</v>
      </c>
      <c r="I67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1</v>
      </c>
      <c r="H68" t="s">
        <v>88</v>
      </c>
      <c r="I68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1</v>
      </c>
      <c r="F69" s="12" t="s">
        <v>145</v>
      </c>
      <c r="G69" s="12">
        <v>6</v>
      </c>
      <c r="H69" t="s">
        <v>85</v>
      </c>
      <c r="I69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2</v>
      </c>
      <c r="F70" s="12" t="s">
        <v>145</v>
      </c>
      <c r="G70" s="12">
        <v>3</v>
      </c>
      <c r="H70" t="s">
        <v>82</v>
      </c>
      <c r="I70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2</v>
      </c>
      <c r="F71" s="12" t="s">
        <v>145</v>
      </c>
      <c r="G71" s="12">
        <v>1</v>
      </c>
      <c r="H71" t="s">
        <v>91</v>
      </c>
      <c r="I71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2</v>
      </c>
      <c r="F73" s="12" t="s">
        <v>145</v>
      </c>
      <c r="G73" s="12">
        <v>1</v>
      </c>
      <c r="H73" t="s">
        <v>75</v>
      </c>
      <c r="I73" s="12">
        <f>IF(OR(Tabela_33428[[#This Row],[Placar Mandante]]="",Tabela_33428[[#This Row],[Placar Visitante]]="",Tabela_3[[#This Row],[Placar Mandante]]="",Tabela_3[[#This Row],[Placar Visitante]]=""),0,
IF(AND(Tabela_33428[[#This Row],[Placar Mandante]]=Tabela_3[[#This Row],[Placar Mandante]],Tabela_33428[[#This Row],[Placar Visitante]]=Tabela_3[[#This Row],[Placar Visitante]]),3,
IF(SIGN(Tabela_33428[[#This Row],[Placar Mandante]]-Tabela_33428[[#This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AFB4-E8D2-4D6B-99A4-DA50E9C56BD9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6640625" style="11" hidden="1" customWidth="1"/>
    <col min="2" max="2" width="10.33203125" style="11" bestFit="1" customWidth="1"/>
    <col min="3" max="3" width="9.44140625" style="11" bestFit="1" customWidth="1"/>
    <col min="4" max="4" width="18.33203125" style="11" bestFit="1" customWidth="1"/>
    <col min="5" max="5" width="18.33203125" style="11" customWidth="1"/>
    <col min="6" max="6" width="4.109375" style="12" bestFit="1" customWidth="1"/>
    <col min="7" max="7" width="18.33203125" style="11" customWidth="1"/>
    <col min="8" max="8" width="18.33203125" style="11" bestFit="1" customWidth="1"/>
    <col min="9" max="9" width="8.88671875" style="11"/>
    <col min="10" max="10" width="10.77734375" style="11" customWidth="1"/>
    <col min="11" max="11" width="10.3320312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1</v>
      </c>
      <c r="H2" t="s">
        <v>7</v>
      </c>
      <c r="I2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  <c r="J2" s="13"/>
      <c r="K2" s="3">
        <f>SUM(Tabela_33475[Pontuação])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1</v>
      </c>
      <c r="H3" t="s">
        <v>12</v>
      </c>
      <c r="I3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0</v>
      </c>
      <c r="H4" t="s">
        <v>16</v>
      </c>
      <c r="I4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2</v>
      </c>
      <c r="F5" s="12" t="s">
        <v>145</v>
      </c>
      <c r="G5" s="12">
        <v>1</v>
      </c>
      <c r="H5" t="s">
        <v>20</v>
      </c>
      <c r="I5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1</v>
      </c>
      <c r="H7" t="s">
        <v>28</v>
      </c>
      <c r="I7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2</v>
      </c>
      <c r="H8" t="s">
        <v>32</v>
      </c>
      <c r="I8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2</v>
      </c>
      <c r="H9" t="s">
        <v>35</v>
      </c>
      <c r="I9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4</v>
      </c>
      <c r="F10" s="12" t="s">
        <v>145</v>
      </c>
      <c r="G10" s="12">
        <v>0</v>
      </c>
      <c r="H10" t="s">
        <v>40</v>
      </c>
      <c r="I10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1</v>
      </c>
      <c r="H11" t="s">
        <v>44</v>
      </c>
      <c r="I11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2</v>
      </c>
      <c r="F12" s="12" t="s">
        <v>145</v>
      </c>
      <c r="G12" s="12">
        <v>1</v>
      </c>
      <c r="H12" t="s">
        <v>48</v>
      </c>
      <c r="I12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0</v>
      </c>
      <c r="H13" t="s">
        <v>52</v>
      </c>
      <c r="I13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0</v>
      </c>
      <c r="H14" t="s">
        <v>55</v>
      </c>
      <c r="I14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0</v>
      </c>
      <c r="H15" t="s">
        <v>60</v>
      </c>
      <c r="I15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0</v>
      </c>
      <c r="H17" t="s">
        <v>66</v>
      </c>
      <c r="I17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1</v>
      </c>
      <c r="H18" t="s">
        <v>69</v>
      </c>
      <c r="I18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2</v>
      </c>
      <c r="H19" t="s">
        <v>73</v>
      </c>
      <c r="I19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2</v>
      </c>
      <c r="F20" s="12" t="s">
        <v>145</v>
      </c>
      <c r="G20" s="12">
        <v>0</v>
      </c>
      <c r="H20" t="s">
        <v>76</v>
      </c>
      <c r="I20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0</v>
      </c>
      <c r="H21" t="s">
        <v>79</v>
      </c>
      <c r="I21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2</v>
      </c>
      <c r="F22" s="12" t="s">
        <v>145</v>
      </c>
      <c r="G22" s="12">
        <v>1</v>
      </c>
      <c r="H22" t="s">
        <v>83</v>
      </c>
      <c r="I22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1</v>
      </c>
      <c r="F23" s="12" t="s">
        <v>145</v>
      </c>
      <c r="G23" s="12">
        <v>1</v>
      </c>
      <c r="H23" t="s">
        <v>86</v>
      </c>
      <c r="I23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0</v>
      </c>
      <c r="H24" t="s">
        <v>89</v>
      </c>
      <c r="I24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1</v>
      </c>
      <c r="H25" t="s">
        <v>92</v>
      </c>
      <c r="I25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0</v>
      </c>
      <c r="H26" t="s">
        <v>7</v>
      </c>
      <c r="I26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1</v>
      </c>
      <c r="F27" s="12" t="s">
        <v>145</v>
      </c>
      <c r="G27" s="12">
        <v>1</v>
      </c>
      <c r="H27" t="s">
        <v>16</v>
      </c>
      <c r="I27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1</v>
      </c>
      <c r="H28" t="s">
        <v>23</v>
      </c>
      <c r="I28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1</v>
      </c>
      <c r="F29" s="12" t="s">
        <v>145</v>
      </c>
      <c r="G29" s="12">
        <v>1</v>
      </c>
      <c r="H29" t="s">
        <v>11</v>
      </c>
      <c r="I29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1</v>
      </c>
      <c r="F30" s="12" t="s">
        <v>145</v>
      </c>
      <c r="G30" s="12">
        <v>1</v>
      </c>
      <c r="H30" t="s">
        <v>34</v>
      </c>
      <c r="I30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1</v>
      </c>
      <c r="H31" t="s">
        <v>28</v>
      </c>
      <c r="I31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0</v>
      </c>
      <c r="H32" t="s">
        <v>31</v>
      </c>
      <c r="I32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2</v>
      </c>
      <c r="F33" s="12" t="s">
        <v>145</v>
      </c>
      <c r="G33" s="12">
        <v>1</v>
      </c>
      <c r="H33" t="s">
        <v>20</v>
      </c>
      <c r="I33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0</v>
      </c>
      <c r="H34" t="s">
        <v>51</v>
      </c>
      <c r="I34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0</v>
      </c>
      <c r="H35" t="s">
        <v>47</v>
      </c>
      <c r="I35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0</v>
      </c>
      <c r="H36" t="s">
        <v>40</v>
      </c>
      <c r="I36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2</v>
      </c>
      <c r="H37" t="s">
        <v>44</v>
      </c>
      <c r="I37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1</v>
      </c>
      <c r="H38" t="s">
        <v>62</v>
      </c>
      <c r="I38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0</v>
      </c>
      <c r="H39" t="s">
        <v>65</v>
      </c>
      <c r="I39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2</v>
      </c>
      <c r="F40" s="12" t="s">
        <v>145</v>
      </c>
      <c r="G40" s="12">
        <v>0</v>
      </c>
      <c r="H40" t="s">
        <v>55</v>
      </c>
      <c r="I40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2</v>
      </c>
      <c r="H41" t="s">
        <v>60</v>
      </c>
      <c r="I41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0</v>
      </c>
      <c r="H42" t="s">
        <v>78</v>
      </c>
      <c r="I42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1</v>
      </c>
      <c r="H44" t="s">
        <v>69</v>
      </c>
      <c r="I44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2</v>
      </c>
      <c r="H45" t="s">
        <v>76</v>
      </c>
      <c r="I45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2</v>
      </c>
      <c r="F46" s="12" t="s">
        <v>145</v>
      </c>
      <c r="G46" s="12">
        <v>0</v>
      </c>
      <c r="H46" t="s">
        <v>91</v>
      </c>
      <c r="I46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0</v>
      </c>
      <c r="H47" t="s">
        <v>88</v>
      </c>
      <c r="I47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1</v>
      </c>
      <c r="H49" t="s">
        <v>83</v>
      </c>
      <c r="I49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2</v>
      </c>
      <c r="F50" s="12" t="s">
        <v>145</v>
      </c>
      <c r="G50" s="12">
        <v>1</v>
      </c>
      <c r="H50" t="s">
        <v>23</v>
      </c>
      <c r="I50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1</v>
      </c>
      <c r="H51" t="s">
        <v>15</v>
      </c>
      <c r="I51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2</v>
      </c>
      <c r="H52" t="s">
        <v>27</v>
      </c>
      <c r="I52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0</v>
      </c>
      <c r="H53" t="s">
        <v>31</v>
      </c>
      <c r="I53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2</v>
      </c>
      <c r="H54" t="s">
        <v>11</v>
      </c>
      <c r="I54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0</v>
      </c>
      <c r="F55" s="12" t="s">
        <v>145</v>
      </c>
      <c r="G55" s="12">
        <v>2</v>
      </c>
      <c r="H55" t="s">
        <v>6</v>
      </c>
      <c r="I55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1</v>
      </c>
      <c r="F56" s="12" t="s">
        <v>145</v>
      </c>
      <c r="G56" s="12">
        <v>3</v>
      </c>
      <c r="H56" t="s">
        <v>47</v>
      </c>
      <c r="I56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0</v>
      </c>
      <c r="F57" s="12" t="s">
        <v>145</v>
      </c>
      <c r="G57" s="12">
        <v>2</v>
      </c>
      <c r="H57" t="s">
        <v>39</v>
      </c>
      <c r="I57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1</v>
      </c>
      <c r="H58" t="s">
        <v>51</v>
      </c>
      <c r="I58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2</v>
      </c>
      <c r="H59" t="s">
        <v>43</v>
      </c>
      <c r="I59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1</v>
      </c>
      <c r="H60" t="s">
        <v>34</v>
      </c>
      <c r="I60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1</v>
      </c>
      <c r="H61" t="s">
        <v>19</v>
      </c>
      <c r="I61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2</v>
      </c>
      <c r="H62" t="s">
        <v>68</v>
      </c>
      <c r="I62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0</v>
      </c>
      <c r="H63" t="s">
        <v>72</v>
      </c>
      <c r="I63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1</v>
      </c>
      <c r="H64" t="s">
        <v>62</v>
      </c>
      <c r="I64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1</v>
      </c>
      <c r="H65" t="s">
        <v>54</v>
      </c>
      <c r="I65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1</v>
      </c>
      <c r="H66" t="s">
        <v>65</v>
      </c>
      <c r="I66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3</v>
      </c>
      <c r="H67" t="s">
        <v>59</v>
      </c>
      <c r="I67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1</v>
      </c>
      <c r="H68" t="s">
        <v>88</v>
      </c>
      <c r="I68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2</v>
      </c>
      <c r="H69" t="s">
        <v>85</v>
      </c>
      <c r="I69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1</v>
      </c>
      <c r="H70" t="s">
        <v>82</v>
      </c>
      <c r="I70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1</v>
      </c>
      <c r="H71" t="s">
        <v>91</v>
      </c>
      <c r="I71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2</v>
      </c>
      <c r="H72" t="s">
        <v>78</v>
      </c>
      <c r="I72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2</v>
      </c>
      <c r="F73" s="12" t="s">
        <v>145</v>
      </c>
      <c r="G73" s="12">
        <v>0</v>
      </c>
      <c r="H73" t="s">
        <v>75</v>
      </c>
      <c r="I73" s="12">
        <f>IF(OR(Tabela_33475[[#This Row],[Placar Mandante]]="",Tabela_33475[[#This Row],[Placar Visitante]]="",Tabela_3[[#This Row],[Placar Mandante]]="",Tabela_3[[#This Row],[Placar Visitante]]=""),0,
IF(AND(Tabela_33475[[#This Row],[Placar Mandante]]=Tabela_3[[#This Row],[Placar Mandante]],Tabela_33475[[#This Row],[Placar Visitante]]=Tabela_3[[#This Row],[Placar Visitante]]),3,
IF(SIGN(Tabela_33475[[#This Row],[Placar Mandante]]-Tabela_33475[[#This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BA09-66CB-4A52-A75E-02B13EDD31BD}">
  <sheetPr codeName="Planilha17"/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2</v>
      </c>
      <c r="F2" s="2" t="s">
        <v>145</v>
      </c>
      <c r="G2" s="12">
        <v>1</v>
      </c>
      <c r="H2" t="s">
        <v>7</v>
      </c>
      <c r="I2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  <c r="K2" s="3">
        <f>SUM(Tabela_3345[Pontuação])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1</v>
      </c>
      <c r="F3" s="2" t="s">
        <v>145</v>
      </c>
      <c r="G3" s="12">
        <v>1</v>
      </c>
      <c r="H3" t="s">
        <v>12</v>
      </c>
      <c r="I3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2</v>
      </c>
      <c r="F4" s="2" t="s">
        <v>145</v>
      </c>
      <c r="G4" s="12">
        <v>0</v>
      </c>
      <c r="H4" t="s">
        <v>16</v>
      </c>
      <c r="I4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2</v>
      </c>
      <c r="F5" s="2" t="s">
        <v>145</v>
      </c>
      <c r="G5" s="12">
        <v>1</v>
      </c>
      <c r="H5" t="s">
        <v>20</v>
      </c>
      <c r="I5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2</v>
      </c>
      <c r="H6" t="s">
        <v>24</v>
      </c>
      <c r="I6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3</v>
      </c>
      <c r="F7" s="2" t="s">
        <v>145</v>
      </c>
      <c r="G7" s="12">
        <v>1</v>
      </c>
      <c r="H7" t="s">
        <v>28</v>
      </c>
      <c r="I7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0</v>
      </c>
      <c r="F8" s="2" t="s">
        <v>145</v>
      </c>
      <c r="G8" s="12">
        <v>2</v>
      </c>
      <c r="H8" t="s">
        <v>32</v>
      </c>
      <c r="I8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1</v>
      </c>
      <c r="F9" s="2" t="s">
        <v>145</v>
      </c>
      <c r="G9" s="12">
        <v>2</v>
      </c>
      <c r="H9" t="s">
        <v>35</v>
      </c>
      <c r="I9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4</v>
      </c>
      <c r="F10" s="2" t="s">
        <v>145</v>
      </c>
      <c r="G10" s="12">
        <v>0</v>
      </c>
      <c r="H10" t="s">
        <v>40</v>
      </c>
      <c r="I10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1</v>
      </c>
      <c r="F11" s="2" t="s">
        <v>145</v>
      </c>
      <c r="G11" s="12">
        <v>1</v>
      </c>
      <c r="H11" t="s">
        <v>44</v>
      </c>
      <c r="I11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0</v>
      </c>
      <c r="F12" s="2" t="s">
        <v>145</v>
      </c>
      <c r="G12" s="12">
        <v>1</v>
      </c>
      <c r="H12" t="s">
        <v>48</v>
      </c>
      <c r="I12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2</v>
      </c>
      <c r="F13" s="2" t="s">
        <v>145</v>
      </c>
      <c r="G13" s="12">
        <v>0</v>
      </c>
      <c r="H13" t="s">
        <v>52</v>
      </c>
      <c r="I13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3</v>
      </c>
      <c r="F14" s="2" t="s">
        <v>145</v>
      </c>
      <c r="G14" s="12">
        <v>0</v>
      </c>
      <c r="H14" t="s">
        <v>55</v>
      </c>
      <c r="I14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2</v>
      </c>
      <c r="F15" s="2" t="s">
        <v>145</v>
      </c>
      <c r="G15" s="12">
        <v>1</v>
      </c>
      <c r="H15" t="s">
        <v>60</v>
      </c>
      <c r="I15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0</v>
      </c>
      <c r="F16" s="2" t="s">
        <v>145</v>
      </c>
      <c r="G16" s="12">
        <v>2</v>
      </c>
      <c r="H16" t="s">
        <v>63</v>
      </c>
      <c r="I16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2</v>
      </c>
      <c r="F17" s="2" t="s">
        <v>145</v>
      </c>
      <c r="G17" s="12">
        <v>0</v>
      </c>
      <c r="H17" t="s">
        <v>66</v>
      </c>
      <c r="I17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2</v>
      </c>
      <c r="F18" s="2" t="s">
        <v>145</v>
      </c>
      <c r="G18" s="12">
        <v>1</v>
      </c>
      <c r="H18" t="s">
        <v>69</v>
      </c>
      <c r="I18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0</v>
      </c>
      <c r="F19" s="2" t="s">
        <v>145</v>
      </c>
      <c r="G19" s="12">
        <v>2</v>
      </c>
      <c r="H19" t="s">
        <v>73</v>
      </c>
      <c r="I19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2</v>
      </c>
      <c r="F20" s="2" t="s">
        <v>145</v>
      </c>
      <c r="G20" s="12">
        <v>0</v>
      </c>
      <c r="H20" t="s">
        <v>76</v>
      </c>
      <c r="I20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2</v>
      </c>
      <c r="F21" s="2" t="s">
        <v>145</v>
      </c>
      <c r="G21" s="12">
        <v>1</v>
      </c>
      <c r="H21" t="s">
        <v>79</v>
      </c>
      <c r="I21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3</v>
      </c>
      <c r="F22" s="2" t="s">
        <v>145</v>
      </c>
      <c r="G22" s="12">
        <v>0</v>
      </c>
      <c r="H22" t="s">
        <v>83</v>
      </c>
      <c r="I22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1</v>
      </c>
      <c r="F23" s="2" t="s">
        <v>145</v>
      </c>
      <c r="G23" s="12">
        <v>1</v>
      </c>
      <c r="H23" t="s">
        <v>86</v>
      </c>
      <c r="I23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2</v>
      </c>
      <c r="F24" s="2" t="s">
        <v>145</v>
      </c>
      <c r="G24" s="12">
        <v>1</v>
      </c>
      <c r="H24" t="s">
        <v>89</v>
      </c>
      <c r="I24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2</v>
      </c>
      <c r="H25" t="s">
        <v>92</v>
      </c>
      <c r="I25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2</v>
      </c>
      <c r="F26" s="2" t="s">
        <v>145</v>
      </c>
      <c r="G26" s="12">
        <v>1</v>
      </c>
      <c r="H26" t="s">
        <v>7</v>
      </c>
      <c r="I26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1</v>
      </c>
      <c r="F27" s="2" t="s">
        <v>145</v>
      </c>
      <c r="G27" s="12">
        <v>1</v>
      </c>
      <c r="H27" t="s">
        <v>16</v>
      </c>
      <c r="I27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2</v>
      </c>
      <c r="F28" s="2" t="s">
        <v>145</v>
      </c>
      <c r="G28" s="12">
        <v>1</v>
      </c>
      <c r="H28" t="s">
        <v>23</v>
      </c>
      <c r="I28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2</v>
      </c>
      <c r="F29" s="2" t="s">
        <v>145</v>
      </c>
      <c r="G29" s="12">
        <v>1</v>
      </c>
      <c r="H29" t="s">
        <v>11</v>
      </c>
      <c r="I29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2</v>
      </c>
      <c r="F30" s="2" t="s">
        <v>145</v>
      </c>
      <c r="G30" s="12">
        <v>0</v>
      </c>
      <c r="H30" t="s">
        <v>34</v>
      </c>
      <c r="I30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1</v>
      </c>
      <c r="F31" s="2" t="s">
        <v>145</v>
      </c>
      <c r="G31" s="12">
        <v>2</v>
      </c>
      <c r="H31" t="s">
        <v>28</v>
      </c>
      <c r="I31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3</v>
      </c>
      <c r="F32" s="2" t="s">
        <v>145</v>
      </c>
      <c r="G32" s="12">
        <v>0</v>
      </c>
      <c r="H32" t="s">
        <v>31</v>
      </c>
      <c r="I32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2</v>
      </c>
      <c r="F33" s="2" t="s">
        <v>145</v>
      </c>
      <c r="G33" s="12">
        <v>1</v>
      </c>
      <c r="H33" t="s">
        <v>20</v>
      </c>
      <c r="I33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1</v>
      </c>
      <c r="F34" s="2" t="s">
        <v>145</v>
      </c>
      <c r="G34" s="12">
        <v>1</v>
      </c>
      <c r="H34" t="s">
        <v>51</v>
      </c>
      <c r="I34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2</v>
      </c>
      <c r="F35" s="2" t="s">
        <v>145</v>
      </c>
      <c r="G35" s="12">
        <v>1</v>
      </c>
      <c r="H35" t="s">
        <v>47</v>
      </c>
      <c r="I35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1</v>
      </c>
      <c r="F36" s="2" t="s">
        <v>145</v>
      </c>
      <c r="G36" s="12">
        <v>0</v>
      </c>
      <c r="H36" t="s">
        <v>40</v>
      </c>
      <c r="I36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0</v>
      </c>
      <c r="F37" s="2" t="s">
        <v>145</v>
      </c>
      <c r="G37" s="12">
        <v>1</v>
      </c>
      <c r="H37" t="s">
        <v>44</v>
      </c>
      <c r="I37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2</v>
      </c>
      <c r="F38" s="2" t="s">
        <v>145</v>
      </c>
      <c r="G38" s="12">
        <v>0</v>
      </c>
      <c r="H38" t="s">
        <v>62</v>
      </c>
      <c r="I38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2</v>
      </c>
      <c r="F39" s="2" t="s">
        <v>145</v>
      </c>
      <c r="G39" s="12">
        <v>1</v>
      </c>
      <c r="H39" t="s">
        <v>65</v>
      </c>
      <c r="I39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2</v>
      </c>
      <c r="F40" s="2" t="s">
        <v>145</v>
      </c>
      <c r="G40" s="12">
        <v>0</v>
      </c>
      <c r="H40" t="s">
        <v>55</v>
      </c>
      <c r="I40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0</v>
      </c>
      <c r="F41" s="2" t="s">
        <v>145</v>
      </c>
      <c r="G41" s="12">
        <v>1</v>
      </c>
      <c r="H41" t="s">
        <v>60</v>
      </c>
      <c r="I41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2</v>
      </c>
      <c r="F42" s="2" t="s">
        <v>145</v>
      </c>
      <c r="G42" s="12">
        <v>0</v>
      </c>
      <c r="H42" t="s">
        <v>78</v>
      </c>
      <c r="I42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2</v>
      </c>
      <c r="F43" s="2" t="s">
        <v>145</v>
      </c>
      <c r="G43" s="12">
        <v>0</v>
      </c>
      <c r="H43" t="s">
        <v>72</v>
      </c>
      <c r="I43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1</v>
      </c>
      <c r="F44" s="2" t="s">
        <v>145</v>
      </c>
      <c r="G44" s="12">
        <v>1</v>
      </c>
      <c r="H44" t="s">
        <v>69</v>
      </c>
      <c r="I44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0</v>
      </c>
      <c r="F45" s="2" t="s">
        <v>145</v>
      </c>
      <c r="G45" s="12">
        <v>2</v>
      </c>
      <c r="H45" t="s">
        <v>76</v>
      </c>
      <c r="I45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2</v>
      </c>
      <c r="F46" s="2" t="s">
        <v>145</v>
      </c>
      <c r="G46" s="12">
        <v>0</v>
      </c>
      <c r="H46" t="s">
        <v>91</v>
      </c>
      <c r="I46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2</v>
      </c>
      <c r="F47" s="2" t="s">
        <v>145</v>
      </c>
      <c r="G47" s="12">
        <v>0</v>
      </c>
      <c r="H47" t="s">
        <v>88</v>
      </c>
      <c r="I47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0</v>
      </c>
      <c r="F48" s="2" t="s">
        <v>145</v>
      </c>
      <c r="G48" s="12">
        <v>1</v>
      </c>
      <c r="H48" t="s">
        <v>86</v>
      </c>
      <c r="I48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2</v>
      </c>
      <c r="F49" s="2" t="s">
        <v>145</v>
      </c>
      <c r="G49" s="12">
        <v>1</v>
      </c>
      <c r="H49" t="s">
        <v>83</v>
      </c>
      <c r="I49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2</v>
      </c>
      <c r="F50" s="2" t="s">
        <v>145</v>
      </c>
      <c r="G50" s="12">
        <v>1</v>
      </c>
      <c r="H50" t="s">
        <v>23</v>
      </c>
      <c r="I50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1</v>
      </c>
      <c r="F51" s="2" t="s">
        <v>145</v>
      </c>
      <c r="G51" s="12">
        <v>2</v>
      </c>
      <c r="H51" t="s">
        <v>15</v>
      </c>
      <c r="I51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0</v>
      </c>
      <c r="F52" s="2" t="s">
        <v>145</v>
      </c>
      <c r="G52" s="12">
        <v>2</v>
      </c>
      <c r="H52" t="s">
        <v>27</v>
      </c>
      <c r="I52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2</v>
      </c>
      <c r="F53" s="2" t="s">
        <v>145</v>
      </c>
      <c r="G53" s="12">
        <v>0</v>
      </c>
      <c r="H53" t="s">
        <v>31</v>
      </c>
      <c r="I53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1</v>
      </c>
      <c r="F54" s="2" t="s">
        <v>145</v>
      </c>
      <c r="G54" s="12">
        <v>1</v>
      </c>
      <c r="H54" t="s">
        <v>11</v>
      </c>
      <c r="I54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2</v>
      </c>
      <c r="F55" s="2" t="s">
        <v>145</v>
      </c>
      <c r="G55" s="12">
        <v>2</v>
      </c>
      <c r="H55" t="s">
        <v>6</v>
      </c>
      <c r="I55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0</v>
      </c>
      <c r="F56" s="2" t="s">
        <v>145</v>
      </c>
      <c r="G56" s="12">
        <v>1</v>
      </c>
      <c r="H56" t="s">
        <v>47</v>
      </c>
      <c r="I56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1</v>
      </c>
      <c r="F57" s="2" t="s">
        <v>145</v>
      </c>
      <c r="G57" s="12">
        <v>2</v>
      </c>
      <c r="H57" t="s">
        <v>39</v>
      </c>
      <c r="I57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1</v>
      </c>
      <c r="F58" s="2" t="s">
        <v>145</v>
      </c>
      <c r="G58" s="12">
        <v>2</v>
      </c>
      <c r="H58" t="s">
        <v>51</v>
      </c>
      <c r="I58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0</v>
      </c>
      <c r="F59" s="2" t="s">
        <v>145</v>
      </c>
      <c r="G59" s="12">
        <v>2</v>
      </c>
      <c r="H59" t="s">
        <v>43</v>
      </c>
      <c r="I59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2</v>
      </c>
      <c r="F60" s="2" t="s">
        <v>145</v>
      </c>
      <c r="G60" s="12">
        <v>1</v>
      </c>
      <c r="H60" t="s">
        <v>34</v>
      </c>
      <c r="I60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1</v>
      </c>
      <c r="F61" s="2" t="s">
        <v>145</v>
      </c>
      <c r="G61" s="12">
        <v>1</v>
      </c>
      <c r="H61" t="s">
        <v>19</v>
      </c>
      <c r="I61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1</v>
      </c>
      <c r="F62" s="2" t="s">
        <v>145</v>
      </c>
      <c r="G62" s="12">
        <v>2</v>
      </c>
      <c r="H62" t="s">
        <v>68</v>
      </c>
      <c r="I62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2</v>
      </c>
      <c r="F63" s="2" t="s">
        <v>145</v>
      </c>
      <c r="G63" s="12">
        <v>0</v>
      </c>
      <c r="H63" t="s">
        <v>72</v>
      </c>
      <c r="I63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1</v>
      </c>
      <c r="F64" s="2" t="s">
        <v>145</v>
      </c>
      <c r="G64" s="12">
        <v>1</v>
      </c>
      <c r="H64" t="s">
        <v>62</v>
      </c>
      <c r="I64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1</v>
      </c>
      <c r="F65" s="2" t="s">
        <v>145</v>
      </c>
      <c r="G65" s="12">
        <v>2</v>
      </c>
      <c r="H65" t="s">
        <v>54</v>
      </c>
      <c r="I65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1</v>
      </c>
      <c r="F66" s="2" t="s">
        <v>145</v>
      </c>
      <c r="G66" s="12">
        <v>0</v>
      </c>
      <c r="H66" t="s">
        <v>65</v>
      </c>
      <c r="I66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0</v>
      </c>
      <c r="F67" s="2" t="s">
        <v>145</v>
      </c>
      <c r="G67" s="12">
        <v>1</v>
      </c>
      <c r="H67" t="s">
        <v>59</v>
      </c>
      <c r="I67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1</v>
      </c>
      <c r="F68" s="2" t="s">
        <v>145</v>
      </c>
      <c r="G68" s="12">
        <v>0</v>
      </c>
      <c r="H68" t="s">
        <v>88</v>
      </c>
      <c r="I68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0</v>
      </c>
      <c r="F69" s="2" t="s">
        <v>145</v>
      </c>
      <c r="G69" s="12">
        <v>2</v>
      </c>
      <c r="H69" t="s">
        <v>85</v>
      </c>
      <c r="I69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1</v>
      </c>
      <c r="F70" s="2" t="s">
        <v>145</v>
      </c>
      <c r="G70" s="12">
        <v>2</v>
      </c>
      <c r="H70" t="s">
        <v>82</v>
      </c>
      <c r="I70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0</v>
      </c>
      <c r="F71" s="2" t="s">
        <v>145</v>
      </c>
      <c r="G71" s="12">
        <v>0</v>
      </c>
      <c r="H71" t="s">
        <v>91</v>
      </c>
      <c r="I71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1</v>
      </c>
      <c r="F72" s="2" t="s">
        <v>145</v>
      </c>
      <c r="G72" s="12">
        <v>1</v>
      </c>
      <c r="H72" t="s">
        <v>78</v>
      </c>
      <c r="I72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0</v>
      </c>
      <c r="F73" s="2" t="s">
        <v>145</v>
      </c>
      <c r="G73" s="12">
        <v>2</v>
      </c>
      <c r="H73" t="s">
        <v>75</v>
      </c>
      <c r="I73" s="2">
        <f>IF(OR(Tabela_3345[[#This Row],[Placar Mandante]]="",Tabela_3345[[#This Row],[Placar Visitante]]="",Tabela_3[[#This Row],[Placar Mandante]]="",Tabela_3[[#This Row],[Placar Visitante]]=""),0,
IF(AND(Tabela_3345[[#This Row],[Placar Mandante]]=Tabela_3[[#This Row],[Placar Mandante]],Tabela_3345[[#This Row],[Placar Visitante]]=Tabela_3[[#This Row],[Placar Visitante]]),3,
IF(SIGN(Tabela_3345[[#This Row],[Placar Mandante]]-Tabela_3345[[#This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17B7-C077-4727-AF60-EA249613C1CD}">
  <sheetPr codeName="Planilha18"/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2</v>
      </c>
      <c r="F2" s="2" t="s">
        <v>145</v>
      </c>
      <c r="G2" s="12">
        <v>0</v>
      </c>
      <c r="H2" t="s">
        <v>7</v>
      </c>
      <c r="I2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  <c r="K2" s="3">
        <f>SUM(Tabela_3346[Pontuação])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1</v>
      </c>
      <c r="F3" s="2" t="s">
        <v>145</v>
      </c>
      <c r="G3" s="12">
        <v>1</v>
      </c>
      <c r="H3" t="s">
        <v>12</v>
      </c>
      <c r="I3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2</v>
      </c>
      <c r="F4" s="2" t="s">
        <v>145</v>
      </c>
      <c r="G4" s="12">
        <v>1</v>
      </c>
      <c r="H4" t="s">
        <v>16</v>
      </c>
      <c r="I4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2</v>
      </c>
      <c r="F5" s="2" t="s">
        <v>145</v>
      </c>
      <c r="G5" s="12">
        <v>1</v>
      </c>
      <c r="H5" t="s">
        <v>20</v>
      </c>
      <c r="I5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2</v>
      </c>
      <c r="H6" t="s">
        <v>24</v>
      </c>
      <c r="I6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2</v>
      </c>
      <c r="F7" s="2" t="s">
        <v>145</v>
      </c>
      <c r="G7" s="12">
        <v>1</v>
      </c>
      <c r="H7" t="s">
        <v>28</v>
      </c>
      <c r="I7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0</v>
      </c>
      <c r="F8" s="2" t="s">
        <v>145</v>
      </c>
      <c r="G8" s="12">
        <v>1</v>
      </c>
      <c r="H8" t="s">
        <v>32</v>
      </c>
      <c r="I8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0</v>
      </c>
      <c r="F9" s="2" t="s">
        <v>145</v>
      </c>
      <c r="G9" s="12">
        <v>2</v>
      </c>
      <c r="H9" t="s">
        <v>35</v>
      </c>
      <c r="I9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5</v>
      </c>
      <c r="F10" s="2" t="s">
        <v>145</v>
      </c>
      <c r="G10" s="12">
        <v>0</v>
      </c>
      <c r="H10" t="s">
        <v>40</v>
      </c>
      <c r="I10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2</v>
      </c>
      <c r="F11" s="2" t="s">
        <v>145</v>
      </c>
      <c r="G11" s="12">
        <v>1</v>
      </c>
      <c r="H11" t="s">
        <v>44</v>
      </c>
      <c r="I11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1</v>
      </c>
      <c r="F12" s="2" t="s">
        <v>145</v>
      </c>
      <c r="G12" s="12">
        <v>1</v>
      </c>
      <c r="H12" t="s">
        <v>48</v>
      </c>
      <c r="I12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1</v>
      </c>
      <c r="F13" s="2" t="s">
        <v>145</v>
      </c>
      <c r="G13" s="12">
        <v>0</v>
      </c>
      <c r="H13" t="s">
        <v>52</v>
      </c>
      <c r="I13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5</v>
      </c>
      <c r="F14" s="2" t="s">
        <v>145</v>
      </c>
      <c r="G14" s="12">
        <v>0</v>
      </c>
      <c r="H14" t="s">
        <v>55</v>
      </c>
      <c r="I14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2</v>
      </c>
      <c r="F15" s="2" t="s">
        <v>145</v>
      </c>
      <c r="G15" s="12">
        <v>1</v>
      </c>
      <c r="H15" t="s">
        <v>60</v>
      </c>
      <c r="I15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0</v>
      </c>
      <c r="F16" s="2" t="s">
        <v>145</v>
      </c>
      <c r="G16" s="12">
        <v>2</v>
      </c>
      <c r="H16" t="s">
        <v>63</v>
      </c>
      <c r="I16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2</v>
      </c>
      <c r="F17" s="2" t="s">
        <v>145</v>
      </c>
      <c r="G17" s="12">
        <v>0</v>
      </c>
      <c r="H17" t="s">
        <v>66</v>
      </c>
      <c r="I17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3</v>
      </c>
      <c r="F18" s="2" t="s">
        <v>145</v>
      </c>
      <c r="G18" s="12">
        <v>1</v>
      </c>
      <c r="H18" t="s">
        <v>69</v>
      </c>
      <c r="I18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0</v>
      </c>
      <c r="F19" s="2" t="s">
        <v>145</v>
      </c>
      <c r="G19" s="12">
        <v>2</v>
      </c>
      <c r="H19" t="s">
        <v>73</v>
      </c>
      <c r="I19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2</v>
      </c>
      <c r="F20" s="2" t="s">
        <v>145</v>
      </c>
      <c r="G20" s="12">
        <v>1</v>
      </c>
      <c r="H20" t="s">
        <v>76</v>
      </c>
      <c r="I20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1</v>
      </c>
      <c r="F21" s="2" t="s">
        <v>145</v>
      </c>
      <c r="G21" s="12">
        <v>0</v>
      </c>
      <c r="H21" t="s">
        <v>79</v>
      </c>
      <c r="I21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2</v>
      </c>
      <c r="F22" s="2" t="s">
        <v>145</v>
      </c>
      <c r="G22" s="12">
        <v>0</v>
      </c>
      <c r="H22" t="s">
        <v>83</v>
      </c>
      <c r="I22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2</v>
      </c>
      <c r="F23" s="2" t="s">
        <v>145</v>
      </c>
      <c r="G23" s="12">
        <v>1</v>
      </c>
      <c r="H23" t="s">
        <v>86</v>
      </c>
      <c r="I23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1</v>
      </c>
      <c r="F24" s="2" t="s">
        <v>145</v>
      </c>
      <c r="G24" s="12">
        <v>0</v>
      </c>
      <c r="H24" t="s">
        <v>89</v>
      </c>
      <c r="I24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2</v>
      </c>
      <c r="H25" t="s">
        <v>92</v>
      </c>
      <c r="I25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2</v>
      </c>
      <c r="F26" s="2" t="s">
        <v>145</v>
      </c>
      <c r="G26" s="12">
        <v>1</v>
      </c>
      <c r="H26" t="s">
        <v>7</v>
      </c>
      <c r="I26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1</v>
      </c>
      <c r="F27" s="2" t="s">
        <v>145</v>
      </c>
      <c r="G27" s="12">
        <v>0</v>
      </c>
      <c r="H27" t="s">
        <v>16</v>
      </c>
      <c r="I27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2</v>
      </c>
      <c r="F28" s="2" t="s">
        <v>145</v>
      </c>
      <c r="G28" s="12">
        <v>0</v>
      </c>
      <c r="H28" t="s">
        <v>23</v>
      </c>
      <c r="I28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2</v>
      </c>
      <c r="F29" s="2" t="s">
        <v>145</v>
      </c>
      <c r="G29" s="12">
        <v>1</v>
      </c>
      <c r="H29" t="s">
        <v>11</v>
      </c>
      <c r="I29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2</v>
      </c>
      <c r="F30" s="2" t="s">
        <v>145</v>
      </c>
      <c r="G30" s="12">
        <v>0</v>
      </c>
      <c r="H30" t="s">
        <v>34</v>
      </c>
      <c r="I30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1</v>
      </c>
      <c r="F31" s="2" t="s">
        <v>145</v>
      </c>
      <c r="G31" s="12">
        <v>1</v>
      </c>
      <c r="H31" t="s">
        <v>28</v>
      </c>
      <c r="I31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4</v>
      </c>
      <c r="F32" s="2" t="s">
        <v>145</v>
      </c>
      <c r="G32" s="12">
        <v>0</v>
      </c>
      <c r="H32" t="s">
        <v>31</v>
      </c>
      <c r="I32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1</v>
      </c>
      <c r="F33" s="2" t="s">
        <v>145</v>
      </c>
      <c r="G33" s="12">
        <v>1</v>
      </c>
      <c r="H33" t="s">
        <v>20</v>
      </c>
      <c r="I33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2</v>
      </c>
      <c r="F34" s="2" t="s">
        <v>145</v>
      </c>
      <c r="G34" s="12">
        <v>0</v>
      </c>
      <c r="H34" t="s">
        <v>51</v>
      </c>
      <c r="I34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3</v>
      </c>
      <c r="F35" s="2" t="s">
        <v>145</v>
      </c>
      <c r="G35" s="12">
        <v>0</v>
      </c>
      <c r="H35" t="s">
        <v>47</v>
      </c>
      <c r="I35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3</v>
      </c>
      <c r="F36" s="2" t="s">
        <v>145</v>
      </c>
      <c r="G36" s="12">
        <v>0</v>
      </c>
      <c r="H36" t="s">
        <v>40</v>
      </c>
      <c r="I36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0</v>
      </c>
      <c r="F37" s="2" t="s">
        <v>145</v>
      </c>
      <c r="G37" s="12">
        <v>2</v>
      </c>
      <c r="H37" t="s">
        <v>44</v>
      </c>
      <c r="I37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3</v>
      </c>
      <c r="F38" s="2" t="s">
        <v>145</v>
      </c>
      <c r="G38" s="12">
        <v>0</v>
      </c>
      <c r="H38" t="s">
        <v>62</v>
      </c>
      <c r="I38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1</v>
      </c>
      <c r="F39" s="2" t="s">
        <v>145</v>
      </c>
      <c r="G39" s="12">
        <v>0</v>
      </c>
      <c r="H39" t="s">
        <v>65</v>
      </c>
      <c r="I39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2</v>
      </c>
      <c r="F40" s="2" t="s">
        <v>145</v>
      </c>
      <c r="G40" s="12">
        <v>0</v>
      </c>
      <c r="H40" t="s">
        <v>55</v>
      </c>
      <c r="I40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0</v>
      </c>
      <c r="F41" s="2" t="s">
        <v>145</v>
      </c>
      <c r="G41" s="12">
        <v>2</v>
      </c>
      <c r="H41" t="s">
        <v>60</v>
      </c>
      <c r="I41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1</v>
      </c>
      <c r="F42" s="2" t="s">
        <v>145</v>
      </c>
      <c r="G42" s="12">
        <v>0</v>
      </c>
      <c r="H42" t="s">
        <v>78</v>
      </c>
      <c r="I42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3</v>
      </c>
      <c r="F43" s="2" t="s">
        <v>145</v>
      </c>
      <c r="G43" s="12">
        <v>0</v>
      </c>
      <c r="H43" t="s">
        <v>72</v>
      </c>
      <c r="I43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2</v>
      </c>
      <c r="F44" s="2" t="s">
        <v>145</v>
      </c>
      <c r="G44" s="12">
        <v>2</v>
      </c>
      <c r="H44" t="s">
        <v>69</v>
      </c>
      <c r="I44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0</v>
      </c>
      <c r="F45" s="2" t="s">
        <v>145</v>
      </c>
      <c r="G45" s="12">
        <v>1</v>
      </c>
      <c r="H45" t="s">
        <v>76</v>
      </c>
      <c r="I45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3</v>
      </c>
      <c r="F46" s="2" t="s">
        <v>145</v>
      </c>
      <c r="G46" s="12">
        <v>0</v>
      </c>
      <c r="H46" t="s">
        <v>91</v>
      </c>
      <c r="I46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2</v>
      </c>
      <c r="F47" s="2" t="s">
        <v>145</v>
      </c>
      <c r="G47" s="12">
        <v>0</v>
      </c>
      <c r="H47" t="s">
        <v>88</v>
      </c>
      <c r="I47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0</v>
      </c>
      <c r="F48" s="2" t="s">
        <v>145</v>
      </c>
      <c r="G48" s="12">
        <v>2</v>
      </c>
      <c r="H48" t="s">
        <v>86</v>
      </c>
      <c r="I48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2</v>
      </c>
      <c r="F49" s="2" t="s">
        <v>145</v>
      </c>
      <c r="G49" s="12">
        <v>1</v>
      </c>
      <c r="H49" t="s">
        <v>83</v>
      </c>
      <c r="I49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1</v>
      </c>
      <c r="F50" s="2" t="s">
        <v>145</v>
      </c>
      <c r="G50" s="12">
        <v>1</v>
      </c>
      <c r="H50" t="s">
        <v>23</v>
      </c>
      <c r="I50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1</v>
      </c>
      <c r="F51" s="2" t="s">
        <v>145</v>
      </c>
      <c r="G51" s="12">
        <v>1</v>
      </c>
      <c r="H51" t="s">
        <v>15</v>
      </c>
      <c r="I51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1</v>
      </c>
      <c r="F52" s="2" t="s">
        <v>145</v>
      </c>
      <c r="G52" s="12">
        <v>2</v>
      </c>
      <c r="H52" t="s">
        <v>27</v>
      </c>
      <c r="I52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3</v>
      </c>
      <c r="F53" s="2" t="s">
        <v>145</v>
      </c>
      <c r="G53" s="12">
        <v>0</v>
      </c>
      <c r="H53" t="s">
        <v>31</v>
      </c>
      <c r="I53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1</v>
      </c>
      <c r="F54" s="2" t="s">
        <v>145</v>
      </c>
      <c r="G54" s="12">
        <v>2</v>
      </c>
      <c r="H54" t="s">
        <v>11</v>
      </c>
      <c r="I54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0</v>
      </c>
      <c r="F55" s="2" t="s">
        <v>145</v>
      </c>
      <c r="G55" s="12">
        <v>0</v>
      </c>
      <c r="H55" t="s">
        <v>6</v>
      </c>
      <c r="I55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0</v>
      </c>
      <c r="F56" s="2" t="s">
        <v>145</v>
      </c>
      <c r="G56" s="12">
        <v>2</v>
      </c>
      <c r="H56" t="s">
        <v>47</v>
      </c>
      <c r="I56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1</v>
      </c>
      <c r="F57" s="2" t="s">
        <v>145</v>
      </c>
      <c r="G57" s="12">
        <v>2</v>
      </c>
      <c r="H57" t="s">
        <v>39</v>
      </c>
      <c r="I57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2</v>
      </c>
      <c r="F58" s="2" t="s">
        <v>145</v>
      </c>
      <c r="G58" s="12">
        <v>2</v>
      </c>
      <c r="H58" t="s">
        <v>51</v>
      </c>
      <c r="I58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0</v>
      </c>
      <c r="F59" s="2" t="s">
        <v>145</v>
      </c>
      <c r="G59" s="12">
        <v>2</v>
      </c>
      <c r="H59" t="s">
        <v>43</v>
      </c>
      <c r="I59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1</v>
      </c>
      <c r="F60" s="2" t="s">
        <v>145</v>
      </c>
      <c r="G60" s="12">
        <v>0</v>
      </c>
      <c r="H60" t="s">
        <v>34</v>
      </c>
      <c r="I60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1</v>
      </c>
      <c r="F61" s="2" t="s">
        <v>145</v>
      </c>
      <c r="G61" s="12">
        <v>1</v>
      </c>
      <c r="H61" t="s">
        <v>19</v>
      </c>
      <c r="I61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1</v>
      </c>
      <c r="F62" s="2" t="s">
        <v>145</v>
      </c>
      <c r="G62" s="12">
        <v>3</v>
      </c>
      <c r="H62" t="s">
        <v>68</v>
      </c>
      <c r="I62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1</v>
      </c>
      <c r="F63" s="2" t="s">
        <v>145</v>
      </c>
      <c r="G63" s="12">
        <v>0</v>
      </c>
      <c r="H63" t="s">
        <v>72</v>
      </c>
      <c r="I63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0</v>
      </c>
      <c r="F64" s="2" t="s">
        <v>145</v>
      </c>
      <c r="G64" s="12">
        <v>0</v>
      </c>
      <c r="H64" t="s">
        <v>62</v>
      </c>
      <c r="I64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1</v>
      </c>
      <c r="F65" s="2" t="s">
        <v>145</v>
      </c>
      <c r="G65" s="12">
        <v>3</v>
      </c>
      <c r="H65" t="s">
        <v>54</v>
      </c>
      <c r="I65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1</v>
      </c>
      <c r="F66" s="2" t="s">
        <v>145</v>
      </c>
      <c r="G66" s="12">
        <v>1</v>
      </c>
      <c r="H66" t="s">
        <v>65</v>
      </c>
      <c r="I66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0</v>
      </c>
      <c r="F67" s="2" t="s">
        <v>145</v>
      </c>
      <c r="G67" s="12">
        <v>3</v>
      </c>
      <c r="H67" t="s">
        <v>59</v>
      </c>
      <c r="I67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2</v>
      </c>
      <c r="F68" s="2" t="s">
        <v>145</v>
      </c>
      <c r="G68" s="12">
        <v>1</v>
      </c>
      <c r="H68" t="s">
        <v>88</v>
      </c>
      <c r="I68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0</v>
      </c>
      <c r="F69" s="2" t="s">
        <v>145</v>
      </c>
      <c r="G69" s="12">
        <v>3</v>
      </c>
      <c r="H69" t="s">
        <v>85</v>
      </c>
      <c r="I69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1</v>
      </c>
      <c r="F70" s="2" t="s">
        <v>145</v>
      </c>
      <c r="G70" s="12">
        <v>1</v>
      </c>
      <c r="H70" t="s">
        <v>82</v>
      </c>
      <c r="I70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0</v>
      </c>
      <c r="F71" s="2" t="s">
        <v>145</v>
      </c>
      <c r="G71" s="12">
        <v>0</v>
      </c>
      <c r="H71" t="s">
        <v>91</v>
      </c>
      <c r="I71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1</v>
      </c>
      <c r="F72" s="2" t="s">
        <v>145</v>
      </c>
      <c r="G72" s="12">
        <v>1</v>
      </c>
      <c r="H72" t="s">
        <v>78</v>
      </c>
      <c r="I72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0</v>
      </c>
      <c r="F73" s="2" t="s">
        <v>145</v>
      </c>
      <c r="G73" s="12">
        <v>3</v>
      </c>
      <c r="H73" t="s">
        <v>75</v>
      </c>
      <c r="I73" s="2">
        <f>IF(OR(Tabela_3346[[#This Row],[Placar Mandante]]="",Tabela_3346[[#This Row],[Placar Visitante]]="",Tabela_3[[#This Row],[Placar Mandante]]="",Tabela_3[[#This Row],[Placar Visitante]]=""),0,
IF(AND(Tabela_3346[[#This Row],[Placar Mandante]]=Tabela_3[[#This Row],[Placar Mandante]],Tabela_3346[[#This Row],[Placar Visitante]]=Tabela_3[[#This Row],[Placar Visitante]]),3,
IF(SIGN(Tabela_3346[[#This Row],[Placar Mandante]]-Tabela_3346[[#This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83CB-DEF7-48A1-981C-7F616047D556}">
  <dimension ref="A1:K73"/>
  <sheetViews>
    <sheetView topLeftCell="B1" zoomScaleNormal="100" workbookViewId="0">
      <selection activeCell="H75" sqref="H75"/>
    </sheetView>
  </sheetViews>
  <sheetFormatPr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1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1</v>
      </c>
      <c r="H2" t="s">
        <v>7</v>
      </c>
      <c r="I2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  <c r="J2" s="13"/>
      <c r="K2" s="3">
        <f>SUM(Tabela_33476[Pontuação])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2</v>
      </c>
      <c r="F3" s="12" t="s">
        <v>145</v>
      </c>
      <c r="G3" s="12">
        <v>1</v>
      </c>
      <c r="H3" t="s">
        <v>12</v>
      </c>
      <c r="I3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0</v>
      </c>
      <c r="H4" t="s">
        <v>16</v>
      </c>
      <c r="I4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2</v>
      </c>
      <c r="F5" s="12" t="s">
        <v>145</v>
      </c>
      <c r="G5" s="12">
        <v>0</v>
      </c>
      <c r="H5" t="s">
        <v>20</v>
      </c>
      <c r="I5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3</v>
      </c>
      <c r="H6" t="s">
        <v>24</v>
      </c>
      <c r="I6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1</v>
      </c>
      <c r="F7" s="12" t="s">
        <v>145</v>
      </c>
      <c r="G7" s="12">
        <v>0</v>
      </c>
      <c r="H7" t="s">
        <v>28</v>
      </c>
      <c r="I7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1</v>
      </c>
      <c r="F8" s="12" t="s">
        <v>145</v>
      </c>
      <c r="G8" s="12">
        <v>2</v>
      </c>
      <c r="H8" t="s">
        <v>32</v>
      </c>
      <c r="I8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0</v>
      </c>
      <c r="F9" s="12" t="s">
        <v>145</v>
      </c>
      <c r="G9" s="12">
        <v>2</v>
      </c>
      <c r="H9" t="s">
        <v>35</v>
      </c>
      <c r="I9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5</v>
      </c>
      <c r="F10" s="12" t="s">
        <v>145</v>
      </c>
      <c r="G10" s="12">
        <v>0</v>
      </c>
      <c r="H10" t="s">
        <v>40</v>
      </c>
      <c r="I10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1</v>
      </c>
      <c r="F11" s="12" t="s">
        <v>145</v>
      </c>
      <c r="G11" s="12">
        <v>1</v>
      </c>
      <c r="H11" t="s">
        <v>44</v>
      </c>
      <c r="I11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0</v>
      </c>
      <c r="F12" s="12" t="s">
        <v>145</v>
      </c>
      <c r="G12" s="12">
        <v>2</v>
      </c>
      <c r="H12" t="s">
        <v>48</v>
      </c>
      <c r="I12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2</v>
      </c>
      <c r="F13" s="12" t="s">
        <v>145</v>
      </c>
      <c r="G13" s="12">
        <v>1</v>
      </c>
      <c r="H13" t="s">
        <v>52</v>
      </c>
      <c r="I13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0</v>
      </c>
      <c r="H14" t="s">
        <v>55</v>
      </c>
      <c r="I14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1</v>
      </c>
      <c r="F15" s="12" t="s">
        <v>145</v>
      </c>
      <c r="G15" s="12">
        <v>1</v>
      </c>
      <c r="H15" t="s">
        <v>60</v>
      </c>
      <c r="I15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2</v>
      </c>
      <c r="F17" s="12" t="s">
        <v>145</v>
      </c>
      <c r="G17" s="12">
        <v>2</v>
      </c>
      <c r="H17" t="s">
        <v>66</v>
      </c>
      <c r="I17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1</v>
      </c>
      <c r="H18" t="s">
        <v>69</v>
      </c>
      <c r="I18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3</v>
      </c>
      <c r="H19" t="s">
        <v>73</v>
      </c>
      <c r="I19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1</v>
      </c>
      <c r="H20" t="s">
        <v>76</v>
      </c>
      <c r="I20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0</v>
      </c>
      <c r="H21" t="s">
        <v>79</v>
      </c>
      <c r="I21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4</v>
      </c>
      <c r="F22" s="12" t="s">
        <v>145</v>
      </c>
      <c r="G22" s="12">
        <v>0</v>
      </c>
      <c r="H22" t="s">
        <v>83</v>
      </c>
      <c r="I22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1</v>
      </c>
      <c r="F23" s="12" t="s">
        <v>145</v>
      </c>
      <c r="G23" s="12">
        <v>2</v>
      </c>
      <c r="H23" t="s">
        <v>86</v>
      </c>
      <c r="I23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1</v>
      </c>
      <c r="F24" s="12" t="s">
        <v>145</v>
      </c>
      <c r="G24" s="12">
        <v>0</v>
      </c>
      <c r="H24" t="s">
        <v>89</v>
      </c>
      <c r="I24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1</v>
      </c>
      <c r="F26" s="12" t="s">
        <v>145</v>
      </c>
      <c r="G26" s="12">
        <v>0</v>
      </c>
      <c r="H26" t="s">
        <v>7</v>
      </c>
      <c r="I26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1</v>
      </c>
      <c r="H27" t="s">
        <v>16</v>
      </c>
      <c r="I27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1</v>
      </c>
      <c r="F28" s="12" t="s">
        <v>145</v>
      </c>
      <c r="G28" s="12">
        <v>1</v>
      </c>
      <c r="H28" t="s">
        <v>23</v>
      </c>
      <c r="I28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2</v>
      </c>
      <c r="H29" t="s">
        <v>11</v>
      </c>
      <c r="I29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0</v>
      </c>
      <c r="H30" t="s">
        <v>34</v>
      </c>
      <c r="I30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0</v>
      </c>
      <c r="F31" s="12" t="s">
        <v>145</v>
      </c>
      <c r="G31" s="12">
        <v>2</v>
      </c>
      <c r="H31" t="s">
        <v>28</v>
      </c>
      <c r="I31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2</v>
      </c>
      <c r="F32" s="12" t="s">
        <v>145</v>
      </c>
      <c r="G32" s="12">
        <v>0</v>
      </c>
      <c r="H32" t="s">
        <v>31</v>
      </c>
      <c r="I32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2</v>
      </c>
      <c r="F33" s="12" t="s">
        <v>145</v>
      </c>
      <c r="G33" s="12">
        <v>1</v>
      </c>
      <c r="H33" t="s">
        <v>20</v>
      </c>
      <c r="I33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0</v>
      </c>
      <c r="H34" t="s">
        <v>51</v>
      </c>
      <c r="I34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1</v>
      </c>
      <c r="H35" t="s">
        <v>47</v>
      </c>
      <c r="I35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2</v>
      </c>
      <c r="H37" t="s">
        <v>44</v>
      </c>
      <c r="I37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0</v>
      </c>
      <c r="H38" t="s">
        <v>62</v>
      </c>
      <c r="I38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0</v>
      </c>
      <c r="H39" t="s">
        <v>65</v>
      </c>
      <c r="I39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2</v>
      </c>
      <c r="F40" s="12" t="s">
        <v>145</v>
      </c>
      <c r="G40" s="12">
        <v>0</v>
      </c>
      <c r="H40" t="s">
        <v>55</v>
      </c>
      <c r="I40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0</v>
      </c>
      <c r="H41" t="s">
        <v>60</v>
      </c>
      <c r="I41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1</v>
      </c>
      <c r="F42" s="12" t="s">
        <v>145</v>
      </c>
      <c r="G42" s="12">
        <v>1</v>
      </c>
      <c r="H42" t="s">
        <v>78</v>
      </c>
      <c r="I42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5</v>
      </c>
      <c r="F43" s="12" t="s">
        <v>145</v>
      </c>
      <c r="G43" s="12">
        <v>0</v>
      </c>
      <c r="H43" t="s">
        <v>72</v>
      </c>
      <c r="I43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1</v>
      </c>
      <c r="H44" t="s">
        <v>69</v>
      </c>
      <c r="I44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2</v>
      </c>
      <c r="H45" t="s">
        <v>76</v>
      </c>
      <c r="I45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0</v>
      </c>
      <c r="H46" t="s">
        <v>91</v>
      </c>
      <c r="I46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1</v>
      </c>
      <c r="F47" s="12" t="s">
        <v>145</v>
      </c>
      <c r="G47" s="12">
        <v>0</v>
      </c>
      <c r="H47" t="s">
        <v>88</v>
      </c>
      <c r="I47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0</v>
      </c>
      <c r="H49" t="s">
        <v>83</v>
      </c>
      <c r="I49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0</v>
      </c>
      <c r="H50" t="s">
        <v>23</v>
      </c>
      <c r="I50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3</v>
      </c>
      <c r="F51" s="12" t="s">
        <v>145</v>
      </c>
      <c r="G51" s="12">
        <v>2</v>
      </c>
      <c r="H51" t="s">
        <v>15</v>
      </c>
      <c r="I51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1</v>
      </c>
      <c r="H52" t="s">
        <v>27</v>
      </c>
      <c r="I52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2</v>
      </c>
      <c r="F53" s="12" t="s">
        <v>145</v>
      </c>
      <c r="G53" s="12">
        <v>0</v>
      </c>
      <c r="H53" t="s">
        <v>31</v>
      </c>
      <c r="I53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1</v>
      </c>
      <c r="H54" t="s">
        <v>11</v>
      </c>
      <c r="I54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0</v>
      </c>
      <c r="F55" s="12" t="s">
        <v>145</v>
      </c>
      <c r="G55" s="12">
        <v>1</v>
      </c>
      <c r="H55" t="s">
        <v>6</v>
      </c>
      <c r="I55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2</v>
      </c>
      <c r="F56" s="12" t="s">
        <v>145</v>
      </c>
      <c r="G56" s="12">
        <v>2</v>
      </c>
      <c r="H56" t="s">
        <v>47</v>
      </c>
      <c r="I56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0</v>
      </c>
      <c r="F57" s="12" t="s">
        <v>145</v>
      </c>
      <c r="G57" s="12">
        <v>2</v>
      </c>
      <c r="H57" t="s">
        <v>39</v>
      </c>
      <c r="I57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0</v>
      </c>
      <c r="H58" t="s">
        <v>51</v>
      </c>
      <c r="I58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1</v>
      </c>
      <c r="H59" t="s">
        <v>43</v>
      </c>
      <c r="I59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2</v>
      </c>
      <c r="F60" s="12" t="s">
        <v>145</v>
      </c>
      <c r="G60" s="12">
        <v>1</v>
      </c>
      <c r="H60" t="s">
        <v>34</v>
      </c>
      <c r="I60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1</v>
      </c>
      <c r="H61" t="s">
        <v>19</v>
      </c>
      <c r="I61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2</v>
      </c>
      <c r="F62" s="12" t="s">
        <v>145</v>
      </c>
      <c r="G62" s="12">
        <v>1</v>
      </c>
      <c r="H62" t="s">
        <v>68</v>
      </c>
      <c r="I62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0</v>
      </c>
      <c r="H63" t="s">
        <v>72</v>
      </c>
      <c r="I63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2</v>
      </c>
      <c r="F64" s="12" t="s">
        <v>145</v>
      </c>
      <c r="G64" s="12">
        <v>2</v>
      </c>
      <c r="H64" t="s">
        <v>62</v>
      </c>
      <c r="I64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2</v>
      </c>
      <c r="H65" t="s">
        <v>54</v>
      </c>
      <c r="I65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0</v>
      </c>
      <c r="F66" s="12" t="s">
        <v>145</v>
      </c>
      <c r="G66" s="12">
        <v>0</v>
      </c>
      <c r="H66" t="s">
        <v>65</v>
      </c>
      <c r="I66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2</v>
      </c>
      <c r="H67" t="s">
        <v>59</v>
      </c>
      <c r="I67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1</v>
      </c>
      <c r="F68" s="12" t="s">
        <v>145</v>
      </c>
      <c r="G68" s="12">
        <v>1</v>
      </c>
      <c r="H68" t="s">
        <v>88</v>
      </c>
      <c r="I68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0</v>
      </c>
      <c r="F70" s="12" t="s">
        <v>145</v>
      </c>
      <c r="G70" s="12">
        <v>1</v>
      </c>
      <c r="H70" t="s">
        <v>82</v>
      </c>
      <c r="I70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0</v>
      </c>
      <c r="F71" s="12" t="s">
        <v>145</v>
      </c>
      <c r="G71" s="12">
        <v>0</v>
      </c>
      <c r="H71" t="s">
        <v>91</v>
      </c>
      <c r="I71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0</v>
      </c>
      <c r="F72" s="12" t="s">
        <v>145</v>
      </c>
      <c r="G72" s="12">
        <v>0</v>
      </c>
      <c r="H72" t="s">
        <v>78</v>
      </c>
      <c r="I72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IF(OR(Tabela_33476[[#This Row],[Placar Mandante]]="",Tabela_33476[[#This Row],[Placar Visitante]]="",Tabela_3[[#This Row],[Placar Mandante]]="",Tabela_3[[#This Row],[Placar Visitante]]=""),0,
IF(AND(Tabela_33476[[#This Row],[Placar Mandante]]=Tabela_3[[#This Row],[Placar Mandante]],Tabela_33476[[#This Row],[Placar Visitante]]=Tabela_3[[#This Row],[Placar Visitante]]),3,
IF(SIGN(Tabela_33476[[#This Row],[Placar Mandante]]-Tabela_33476[[#This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D9FF-61CE-4571-9C5A-0107DF4C25A2}">
  <dimension ref="A1:K73"/>
  <sheetViews>
    <sheetView topLeftCell="B1" zoomScaleNormal="100" workbookViewId="0">
      <selection activeCell="H75" sqref="H75"/>
    </sheetView>
  </sheetViews>
  <sheetFormatPr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2.2187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1</v>
      </c>
      <c r="H2" t="s">
        <v>7</v>
      </c>
      <c r="I2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  <c r="J2" s="13"/>
      <c r="K2" s="3">
        <f>SUM(Tabela_33430[Pontuação])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1</v>
      </c>
      <c r="H3" t="s">
        <v>12</v>
      </c>
      <c r="I3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1</v>
      </c>
      <c r="H4" t="s">
        <v>16</v>
      </c>
      <c r="I4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1</v>
      </c>
      <c r="H5" t="s">
        <v>20</v>
      </c>
      <c r="I5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1</v>
      </c>
      <c r="F7" s="12" t="s">
        <v>145</v>
      </c>
      <c r="G7" s="12">
        <v>1</v>
      </c>
      <c r="H7" t="s">
        <v>28</v>
      </c>
      <c r="I7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2</v>
      </c>
      <c r="H8" t="s">
        <v>32</v>
      </c>
      <c r="I8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0</v>
      </c>
      <c r="F9" s="12" t="s">
        <v>145</v>
      </c>
      <c r="G9" s="12">
        <v>2</v>
      </c>
      <c r="H9" t="s">
        <v>35</v>
      </c>
      <c r="I9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4</v>
      </c>
      <c r="F10" s="12" t="s">
        <v>145</v>
      </c>
      <c r="G10" s="12">
        <v>0</v>
      </c>
      <c r="H10" t="s">
        <v>40</v>
      </c>
      <c r="I10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1</v>
      </c>
      <c r="H11" t="s">
        <v>44</v>
      </c>
      <c r="I11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2</v>
      </c>
      <c r="H12" t="s">
        <v>48</v>
      </c>
      <c r="I12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2</v>
      </c>
      <c r="F13" s="12" t="s">
        <v>145</v>
      </c>
      <c r="G13" s="12">
        <v>1</v>
      </c>
      <c r="H13" t="s">
        <v>52</v>
      </c>
      <c r="I13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4</v>
      </c>
      <c r="F14" s="12" t="s">
        <v>145</v>
      </c>
      <c r="G14" s="12">
        <v>0</v>
      </c>
      <c r="H14" t="s">
        <v>55</v>
      </c>
      <c r="I14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1</v>
      </c>
      <c r="F15" s="12" t="s">
        <v>145</v>
      </c>
      <c r="G15" s="12">
        <v>1</v>
      </c>
      <c r="H15" t="s">
        <v>60</v>
      </c>
      <c r="I15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0</v>
      </c>
      <c r="H17" t="s">
        <v>66</v>
      </c>
      <c r="I17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3</v>
      </c>
      <c r="F18" s="12" t="s">
        <v>145</v>
      </c>
      <c r="G18" s="12">
        <v>1</v>
      </c>
      <c r="H18" t="s">
        <v>69</v>
      </c>
      <c r="I18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2</v>
      </c>
      <c r="H19" t="s">
        <v>73</v>
      </c>
      <c r="I19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2</v>
      </c>
      <c r="F20" s="12" t="s">
        <v>145</v>
      </c>
      <c r="G20" s="12">
        <v>1</v>
      </c>
      <c r="H20" t="s">
        <v>76</v>
      </c>
      <c r="I20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0</v>
      </c>
      <c r="H21" t="s">
        <v>79</v>
      </c>
      <c r="I21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2</v>
      </c>
      <c r="F22" s="12" t="s">
        <v>145</v>
      </c>
      <c r="G22" s="12">
        <v>0</v>
      </c>
      <c r="H22" t="s">
        <v>83</v>
      </c>
      <c r="I22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1</v>
      </c>
      <c r="F23" s="12" t="s">
        <v>145</v>
      </c>
      <c r="G23" s="12">
        <v>1</v>
      </c>
      <c r="H23" t="s">
        <v>86</v>
      </c>
      <c r="I23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1</v>
      </c>
      <c r="H24" t="s">
        <v>89</v>
      </c>
      <c r="I24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0</v>
      </c>
      <c r="H26" t="s">
        <v>7</v>
      </c>
      <c r="I26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1</v>
      </c>
      <c r="H27" t="s">
        <v>16</v>
      </c>
      <c r="I27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0</v>
      </c>
      <c r="F28" s="12" t="s">
        <v>145</v>
      </c>
      <c r="G28" s="12">
        <v>0</v>
      </c>
      <c r="H28" t="s">
        <v>23</v>
      </c>
      <c r="I28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1</v>
      </c>
      <c r="F29" s="12" t="s">
        <v>145</v>
      </c>
      <c r="G29" s="12">
        <v>1</v>
      </c>
      <c r="H29" t="s">
        <v>11</v>
      </c>
      <c r="I29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1</v>
      </c>
      <c r="H30" t="s">
        <v>34</v>
      </c>
      <c r="I30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2</v>
      </c>
      <c r="H31" t="s">
        <v>28</v>
      </c>
      <c r="I31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0</v>
      </c>
      <c r="H32" t="s">
        <v>31</v>
      </c>
      <c r="I32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2</v>
      </c>
      <c r="F33" s="12" t="s">
        <v>145</v>
      </c>
      <c r="G33" s="12">
        <v>1</v>
      </c>
      <c r="H33" t="s">
        <v>20</v>
      </c>
      <c r="I33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1</v>
      </c>
      <c r="H34" t="s">
        <v>51</v>
      </c>
      <c r="I34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3</v>
      </c>
      <c r="F35" s="12" t="s">
        <v>145</v>
      </c>
      <c r="G35" s="12">
        <v>0</v>
      </c>
      <c r="H35" t="s">
        <v>47</v>
      </c>
      <c r="I35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0</v>
      </c>
      <c r="H36" t="s">
        <v>40</v>
      </c>
      <c r="I36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2</v>
      </c>
      <c r="H37" t="s">
        <v>44</v>
      </c>
      <c r="I37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4</v>
      </c>
      <c r="F38" s="12" t="s">
        <v>145</v>
      </c>
      <c r="G38" s="12">
        <v>0</v>
      </c>
      <c r="H38" t="s">
        <v>62</v>
      </c>
      <c r="I38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0</v>
      </c>
      <c r="H39" t="s">
        <v>65</v>
      </c>
      <c r="I39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0</v>
      </c>
      <c r="H40" t="s">
        <v>55</v>
      </c>
      <c r="I40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2</v>
      </c>
      <c r="H41" t="s">
        <v>60</v>
      </c>
      <c r="I41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1</v>
      </c>
      <c r="H42" t="s">
        <v>78</v>
      </c>
      <c r="I42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1</v>
      </c>
      <c r="H43" t="s">
        <v>72</v>
      </c>
      <c r="I43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2</v>
      </c>
      <c r="F44" s="12" t="s">
        <v>145</v>
      </c>
      <c r="G44" s="12">
        <v>1</v>
      </c>
      <c r="H44" t="s">
        <v>69</v>
      </c>
      <c r="I44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1</v>
      </c>
      <c r="H45" t="s">
        <v>76</v>
      </c>
      <c r="I45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4</v>
      </c>
      <c r="F46" s="12" t="s">
        <v>145</v>
      </c>
      <c r="G46" s="12">
        <v>0</v>
      </c>
      <c r="H46" t="s">
        <v>91</v>
      </c>
      <c r="I46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1</v>
      </c>
      <c r="H47" t="s">
        <v>88</v>
      </c>
      <c r="I47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1</v>
      </c>
      <c r="H49" t="s">
        <v>83</v>
      </c>
      <c r="I49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0</v>
      </c>
      <c r="H50" t="s">
        <v>23</v>
      </c>
      <c r="I50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2</v>
      </c>
      <c r="F51" s="12" t="s">
        <v>145</v>
      </c>
      <c r="G51" s="12">
        <v>0</v>
      </c>
      <c r="H51" t="s">
        <v>15</v>
      </c>
      <c r="I51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1</v>
      </c>
      <c r="F52" s="12" t="s">
        <v>145</v>
      </c>
      <c r="G52" s="12">
        <v>2</v>
      </c>
      <c r="H52" t="s">
        <v>27</v>
      </c>
      <c r="I52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2</v>
      </c>
      <c r="F53" s="12" t="s">
        <v>145</v>
      </c>
      <c r="G53" s="12">
        <v>0</v>
      </c>
      <c r="H53" t="s">
        <v>31</v>
      </c>
      <c r="I53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0</v>
      </c>
      <c r="F54" s="12" t="s">
        <v>145</v>
      </c>
      <c r="G54" s="12">
        <v>1</v>
      </c>
      <c r="H54" t="s">
        <v>11</v>
      </c>
      <c r="I54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1</v>
      </c>
      <c r="H55" t="s">
        <v>6</v>
      </c>
      <c r="I55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1</v>
      </c>
      <c r="H56" t="s">
        <v>47</v>
      </c>
      <c r="I56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2</v>
      </c>
      <c r="H57" t="s">
        <v>39</v>
      </c>
      <c r="I57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1</v>
      </c>
      <c r="H58" t="s">
        <v>51</v>
      </c>
      <c r="I58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2</v>
      </c>
      <c r="H59" t="s">
        <v>43</v>
      </c>
      <c r="I59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0</v>
      </c>
      <c r="H60" t="s">
        <v>34</v>
      </c>
      <c r="I60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2</v>
      </c>
      <c r="F61" s="12" t="s">
        <v>145</v>
      </c>
      <c r="G61" s="12">
        <v>0</v>
      </c>
      <c r="H61" t="s">
        <v>19</v>
      </c>
      <c r="I61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3</v>
      </c>
      <c r="H62" t="s">
        <v>68</v>
      </c>
      <c r="I62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1</v>
      </c>
      <c r="F63" s="12" t="s">
        <v>145</v>
      </c>
      <c r="G63" s="12">
        <v>0</v>
      </c>
      <c r="H63" t="s">
        <v>72</v>
      </c>
      <c r="I63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0</v>
      </c>
      <c r="F64" s="12" t="s">
        <v>145</v>
      </c>
      <c r="G64" s="12">
        <v>1</v>
      </c>
      <c r="H64" t="s">
        <v>62</v>
      </c>
      <c r="I64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3</v>
      </c>
      <c r="H65" t="s">
        <v>54</v>
      </c>
      <c r="I65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2</v>
      </c>
      <c r="F66" s="12" t="s">
        <v>145</v>
      </c>
      <c r="G66" s="12">
        <v>1</v>
      </c>
      <c r="H66" t="s">
        <v>65</v>
      </c>
      <c r="I66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2</v>
      </c>
      <c r="H67" t="s">
        <v>59</v>
      </c>
      <c r="I67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1</v>
      </c>
      <c r="F68" s="12" t="s">
        <v>145</v>
      </c>
      <c r="G68" s="12">
        <v>1</v>
      </c>
      <c r="H68" t="s">
        <v>88</v>
      </c>
      <c r="I68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4</v>
      </c>
      <c r="H69" t="s">
        <v>85</v>
      </c>
      <c r="I69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2</v>
      </c>
      <c r="H70" t="s">
        <v>82</v>
      </c>
      <c r="I70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0</v>
      </c>
      <c r="F71" s="12" t="s">
        <v>145</v>
      </c>
      <c r="G71" s="12">
        <v>0</v>
      </c>
      <c r="H71" t="s">
        <v>91</v>
      </c>
      <c r="I71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0</v>
      </c>
      <c r="F72" s="12" t="s">
        <v>145</v>
      </c>
      <c r="G72" s="12">
        <v>1</v>
      </c>
      <c r="H72" t="s">
        <v>78</v>
      </c>
      <c r="I72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IF(OR(Tabela_33430[[#This Row],[Placar Mandante]]="",Tabela_33430[[#This Row],[Placar Visitante]]="",Tabela_3[[#This Row],[Placar Mandante]]="",Tabela_3[[#This Row],[Placar Visitante]]=""),0,
IF(AND(Tabela_33430[[#This Row],[Placar Mandante]]=Tabela_3[[#This Row],[Placar Mandante]],Tabela_33430[[#This Row],[Placar Visitante]]=Tabela_3[[#This Row],[Placar Visitante]]),3,
IF(SIGN(Tabela_33430[[#This Row],[Placar Mandante]]-Tabela_33430[[#This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19022-B7DD-4A34-9F5E-6083452DF01E}"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10" max="10" width="17" customWidth="1"/>
    <col min="11" max="11" width="10.2187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1</v>
      </c>
      <c r="F2" s="2" t="s">
        <v>145</v>
      </c>
      <c r="G2" s="12">
        <v>1</v>
      </c>
      <c r="H2" t="s">
        <v>7</v>
      </c>
      <c r="I2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  <c r="J2" s="14"/>
      <c r="K2" s="3">
        <f>SUM(Tabela_33470[Pontuação])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2</v>
      </c>
      <c r="F3" s="2" t="s">
        <v>145</v>
      </c>
      <c r="G3" s="12">
        <v>1</v>
      </c>
      <c r="H3" t="s">
        <v>12</v>
      </c>
      <c r="I3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2</v>
      </c>
      <c r="F4" s="2" t="s">
        <v>145</v>
      </c>
      <c r="G4" s="12">
        <v>2</v>
      </c>
      <c r="H4" t="s">
        <v>16</v>
      </c>
      <c r="I4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1</v>
      </c>
      <c r="F5" s="2" t="s">
        <v>145</v>
      </c>
      <c r="G5" s="12">
        <v>0</v>
      </c>
      <c r="H5" t="s">
        <v>20</v>
      </c>
      <c r="I5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  <c r="J5" s="14"/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3</v>
      </c>
      <c r="H6" t="s">
        <v>24</v>
      </c>
      <c r="I6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1</v>
      </c>
      <c r="F7" s="2" t="s">
        <v>145</v>
      </c>
      <c r="G7" s="12">
        <v>0</v>
      </c>
      <c r="H7" t="s">
        <v>28</v>
      </c>
      <c r="I7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8" spans="1:11" ht="18" x14ac:dyDescent="0.3">
      <c r="A8" t="s">
        <v>30</v>
      </c>
      <c r="B8" t="s">
        <v>25</v>
      </c>
      <c r="C8" t="s">
        <v>21</v>
      </c>
      <c r="D8" t="s">
        <v>31</v>
      </c>
      <c r="E8" s="12">
        <v>0</v>
      </c>
      <c r="F8" s="2" t="s">
        <v>145</v>
      </c>
      <c r="G8" s="12">
        <v>4</v>
      </c>
      <c r="H8" t="s">
        <v>32</v>
      </c>
      <c r="I8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0</v>
      </c>
      <c r="F9" s="2" t="s">
        <v>145</v>
      </c>
      <c r="G9" s="12">
        <v>1</v>
      </c>
      <c r="H9" t="s">
        <v>35</v>
      </c>
      <c r="I9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6</v>
      </c>
      <c r="F10" s="2" t="s">
        <v>145</v>
      </c>
      <c r="G10" s="12">
        <v>0</v>
      </c>
      <c r="H10" t="s">
        <v>40</v>
      </c>
      <c r="I10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2</v>
      </c>
      <c r="F11" s="2" t="s">
        <v>145</v>
      </c>
      <c r="G11" s="12">
        <v>0</v>
      </c>
      <c r="H11" t="s">
        <v>44</v>
      </c>
      <c r="I11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0</v>
      </c>
      <c r="F12" s="2" t="s">
        <v>145</v>
      </c>
      <c r="G12" s="12">
        <v>2</v>
      </c>
      <c r="H12" t="s">
        <v>48</v>
      </c>
      <c r="I12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1</v>
      </c>
      <c r="F13" s="2" t="s">
        <v>145</v>
      </c>
      <c r="G13" s="12">
        <v>1</v>
      </c>
      <c r="H13" t="s">
        <v>52</v>
      </c>
      <c r="I13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5</v>
      </c>
      <c r="F14" s="2" t="s">
        <v>145</v>
      </c>
      <c r="G14" s="12">
        <v>0</v>
      </c>
      <c r="H14" t="s">
        <v>55</v>
      </c>
      <c r="I14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2</v>
      </c>
      <c r="F15" s="2" t="s">
        <v>145</v>
      </c>
      <c r="G15" s="12">
        <v>1</v>
      </c>
      <c r="H15" t="s">
        <v>60</v>
      </c>
      <c r="I15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0</v>
      </c>
      <c r="F16" s="2" t="s">
        <v>145</v>
      </c>
      <c r="G16" s="12">
        <v>2</v>
      </c>
      <c r="H16" t="s">
        <v>63</v>
      </c>
      <c r="I16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2</v>
      </c>
      <c r="F17" s="2" t="s">
        <v>145</v>
      </c>
      <c r="G17" s="12">
        <v>0</v>
      </c>
      <c r="H17" t="s">
        <v>66</v>
      </c>
      <c r="I17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2</v>
      </c>
      <c r="F18" s="2" t="s">
        <v>145</v>
      </c>
      <c r="G18" s="12">
        <v>1</v>
      </c>
      <c r="H18" t="s">
        <v>69</v>
      </c>
      <c r="I18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0</v>
      </c>
      <c r="F19" s="2" t="s">
        <v>145</v>
      </c>
      <c r="G19" s="12">
        <v>3</v>
      </c>
      <c r="H19" t="s">
        <v>73</v>
      </c>
      <c r="I19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3</v>
      </c>
      <c r="F20" s="2" t="s">
        <v>145</v>
      </c>
      <c r="G20" s="12">
        <v>1</v>
      </c>
      <c r="H20" t="s">
        <v>76</v>
      </c>
      <c r="I20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4</v>
      </c>
      <c r="F21" s="2" t="s">
        <v>145</v>
      </c>
      <c r="G21" s="12">
        <v>0</v>
      </c>
      <c r="H21" t="s">
        <v>79</v>
      </c>
      <c r="I21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4</v>
      </c>
      <c r="F22" s="2" t="s">
        <v>145</v>
      </c>
      <c r="G22" s="12">
        <v>0</v>
      </c>
      <c r="H22" t="s">
        <v>83</v>
      </c>
      <c r="I22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2</v>
      </c>
      <c r="F23" s="2" t="s">
        <v>145</v>
      </c>
      <c r="G23" s="12">
        <v>1</v>
      </c>
      <c r="H23" t="s">
        <v>86</v>
      </c>
      <c r="I23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1</v>
      </c>
      <c r="F24" s="2" t="s">
        <v>145</v>
      </c>
      <c r="G24" s="12">
        <v>0</v>
      </c>
      <c r="H24" t="s">
        <v>89</v>
      </c>
      <c r="I24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3</v>
      </c>
      <c r="H25" t="s">
        <v>92</v>
      </c>
      <c r="I25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2</v>
      </c>
      <c r="F26" s="2" t="s">
        <v>145</v>
      </c>
      <c r="G26" s="12">
        <v>0</v>
      </c>
      <c r="H26" t="s">
        <v>7</v>
      </c>
      <c r="I26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2</v>
      </c>
      <c r="F27" s="2" t="s">
        <v>145</v>
      </c>
      <c r="G27" s="12">
        <v>1</v>
      </c>
      <c r="H27" t="s">
        <v>16</v>
      </c>
      <c r="I27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3</v>
      </c>
      <c r="F28" s="2" t="s">
        <v>145</v>
      </c>
      <c r="G28" s="12">
        <v>0</v>
      </c>
      <c r="H28" t="s">
        <v>23</v>
      </c>
      <c r="I28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1</v>
      </c>
      <c r="F29" s="2" t="s">
        <v>145</v>
      </c>
      <c r="G29" s="12">
        <v>2</v>
      </c>
      <c r="H29" t="s">
        <v>11</v>
      </c>
      <c r="I29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1</v>
      </c>
      <c r="F30" s="2" t="s">
        <v>145</v>
      </c>
      <c r="G30" s="12">
        <v>0</v>
      </c>
      <c r="H30" t="s">
        <v>34</v>
      </c>
      <c r="I30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1</v>
      </c>
      <c r="F31" s="2" t="s">
        <v>145</v>
      </c>
      <c r="G31" s="12">
        <v>2</v>
      </c>
      <c r="H31" t="s">
        <v>28</v>
      </c>
      <c r="I31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4</v>
      </c>
      <c r="F32" s="2" t="s">
        <v>145</v>
      </c>
      <c r="G32" s="12">
        <v>0</v>
      </c>
      <c r="H32" t="s">
        <v>31</v>
      </c>
      <c r="I32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2</v>
      </c>
      <c r="F33" s="2" t="s">
        <v>145</v>
      </c>
      <c r="G33" s="12">
        <v>0</v>
      </c>
      <c r="H33" t="s">
        <v>20</v>
      </c>
      <c r="I33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2</v>
      </c>
      <c r="F34" s="2" t="s">
        <v>145</v>
      </c>
      <c r="G34" s="12">
        <v>0</v>
      </c>
      <c r="H34" t="s">
        <v>51</v>
      </c>
      <c r="I34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2</v>
      </c>
      <c r="F35" s="2" t="s">
        <v>145</v>
      </c>
      <c r="G35" s="12">
        <v>0</v>
      </c>
      <c r="H35" t="s">
        <v>47</v>
      </c>
      <c r="I35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3</v>
      </c>
      <c r="F36" s="2" t="s">
        <v>145</v>
      </c>
      <c r="G36" s="12">
        <v>1</v>
      </c>
      <c r="H36" t="s">
        <v>40</v>
      </c>
      <c r="I36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0</v>
      </c>
      <c r="F37" s="2" t="s">
        <v>145</v>
      </c>
      <c r="G37" s="12">
        <v>1</v>
      </c>
      <c r="H37" t="s">
        <v>44</v>
      </c>
      <c r="I37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4</v>
      </c>
      <c r="F38" s="2" t="s">
        <v>145</v>
      </c>
      <c r="G38" s="12">
        <v>0</v>
      </c>
      <c r="H38" t="s">
        <v>62</v>
      </c>
      <c r="I38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2</v>
      </c>
      <c r="F39" s="2" t="s">
        <v>145</v>
      </c>
      <c r="G39" s="12">
        <v>1</v>
      </c>
      <c r="H39" t="s">
        <v>65</v>
      </c>
      <c r="I39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3</v>
      </c>
      <c r="F40" s="2" t="s">
        <v>145</v>
      </c>
      <c r="G40" s="12">
        <v>0</v>
      </c>
      <c r="H40" t="s">
        <v>55</v>
      </c>
      <c r="I40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0</v>
      </c>
      <c r="F41" s="2" t="s">
        <v>145</v>
      </c>
      <c r="G41" s="12">
        <v>2</v>
      </c>
      <c r="H41" t="s">
        <v>60</v>
      </c>
      <c r="I41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2</v>
      </c>
      <c r="F42" s="2" t="s">
        <v>145</v>
      </c>
      <c r="G42" s="12">
        <v>1</v>
      </c>
      <c r="H42" t="s">
        <v>78</v>
      </c>
      <c r="I42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4</v>
      </c>
      <c r="F43" s="2" t="s">
        <v>145</v>
      </c>
      <c r="G43" s="12">
        <v>0</v>
      </c>
      <c r="H43" t="s">
        <v>72</v>
      </c>
      <c r="I43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1</v>
      </c>
      <c r="F44" s="2" t="s">
        <v>145</v>
      </c>
      <c r="G44" s="12">
        <v>1</v>
      </c>
      <c r="H44" t="s">
        <v>69</v>
      </c>
      <c r="I44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0</v>
      </c>
      <c r="F45" s="2" t="s">
        <v>145</v>
      </c>
      <c r="G45" s="12">
        <v>1</v>
      </c>
      <c r="H45" t="s">
        <v>76</v>
      </c>
      <c r="I45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3</v>
      </c>
      <c r="F46" s="2" t="s">
        <v>145</v>
      </c>
      <c r="G46" s="12">
        <v>0</v>
      </c>
      <c r="H46" t="s">
        <v>91</v>
      </c>
      <c r="I46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1</v>
      </c>
      <c r="F47" s="2" t="s">
        <v>145</v>
      </c>
      <c r="G47" s="12">
        <v>0</v>
      </c>
      <c r="H47" t="s">
        <v>88</v>
      </c>
      <c r="I47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0</v>
      </c>
      <c r="F48" s="2" t="s">
        <v>145</v>
      </c>
      <c r="G48" s="12">
        <v>2</v>
      </c>
      <c r="H48" t="s">
        <v>86</v>
      </c>
      <c r="I48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3</v>
      </c>
      <c r="F49" s="2" t="s">
        <v>145</v>
      </c>
      <c r="G49" s="12">
        <v>1</v>
      </c>
      <c r="H49" t="s">
        <v>83</v>
      </c>
      <c r="I49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3</v>
      </c>
      <c r="F50" s="2" t="s">
        <v>145</v>
      </c>
      <c r="G50" s="12">
        <v>0</v>
      </c>
      <c r="H50" t="s">
        <v>23</v>
      </c>
      <c r="I50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2</v>
      </c>
      <c r="F51" s="2" t="s">
        <v>145</v>
      </c>
      <c r="G51" s="12">
        <v>0</v>
      </c>
      <c r="H51" t="s">
        <v>15</v>
      </c>
      <c r="I51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0</v>
      </c>
      <c r="F52" s="2" t="s">
        <v>145</v>
      </c>
      <c r="G52" s="12">
        <v>2</v>
      </c>
      <c r="H52" t="s">
        <v>27</v>
      </c>
      <c r="I52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4</v>
      </c>
      <c r="F53" s="2" t="s">
        <v>145</v>
      </c>
      <c r="G53" s="12">
        <v>0</v>
      </c>
      <c r="H53" t="s">
        <v>31</v>
      </c>
      <c r="I53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1</v>
      </c>
      <c r="F54" s="2" t="s">
        <v>145</v>
      </c>
      <c r="G54" s="12">
        <v>2</v>
      </c>
      <c r="H54" t="s">
        <v>11</v>
      </c>
      <c r="I54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1</v>
      </c>
      <c r="F55" s="2" t="s">
        <v>145</v>
      </c>
      <c r="G55" s="12">
        <v>0</v>
      </c>
      <c r="H55" t="s">
        <v>6</v>
      </c>
      <c r="I55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0</v>
      </c>
      <c r="F56" s="2" t="s">
        <v>145</v>
      </c>
      <c r="G56" s="12">
        <v>2</v>
      </c>
      <c r="H56" t="s">
        <v>47</v>
      </c>
      <c r="I56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1</v>
      </c>
      <c r="F57" s="2" t="s">
        <v>145</v>
      </c>
      <c r="G57" s="12">
        <v>1</v>
      </c>
      <c r="H57" t="s">
        <v>39</v>
      </c>
      <c r="I57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1</v>
      </c>
      <c r="F58" s="2" t="s">
        <v>145</v>
      </c>
      <c r="G58" s="12">
        <v>0</v>
      </c>
      <c r="H58" t="s">
        <v>51</v>
      </c>
      <c r="I58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0</v>
      </c>
      <c r="F59" s="2" t="s">
        <v>145</v>
      </c>
      <c r="G59" s="12">
        <v>1</v>
      </c>
      <c r="H59" t="s">
        <v>43</v>
      </c>
      <c r="I59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1</v>
      </c>
      <c r="F60" s="2" t="s">
        <v>145</v>
      </c>
      <c r="G60" s="12">
        <v>1</v>
      </c>
      <c r="H60" t="s">
        <v>34</v>
      </c>
      <c r="I60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2</v>
      </c>
      <c r="F61" s="2" t="s">
        <v>145</v>
      </c>
      <c r="G61" s="12">
        <v>0</v>
      </c>
      <c r="H61" t="s">
        <v>19</v>
      </c>
      <c r="I61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1</v>
      </c>
      <c r="F62" s="2" t="s">
        <v>145</v>
      </c>
      <c r="G62" s="12">
        <v>2</v>
      </c>
      <c r="H62" t="s">
        <v>68</v>
      </c>
      <c r="I62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2</v>
      </c>
      <c r="F63" s="2" t="s">
        <v>145</v>
      </c>
      <c r="G63" s="12">
        <v>0</v>
      </c>
      <c r="H63" t="s">
        <v>72</v>
      </c>
      <c r="I63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0</v>
      </c>
      <c r="F64" s="2" t="s">
        <v>145</v>
      </c>
      <c r="G64" s="12">
        <v>1</v>
      </c>
      <c r="H64" t="s">
        <v>62</v>
      </c>
      <c r="I64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0</v>
      </c>
      <c r="F65" s="2" t="s">
        <v>145</v>
      </c>
      <c r="G65" s="12">
        <v>2</v>
      </c>
      <c r="H65" t="s">
        <v>54</v>
      </c>
      <c r="I65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2</v>
      </c>
      <c r="F66" s="2" t="s">
        <v>145</v>
      </c>
      <c r="G66" s="12">
        <v>1</v>
      </c>
      <c r="H66" t="s">
        <v>65</v>
      </c>
      <c r="I66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0</v>
      </c>
      <c r="F67" s="2" t="s">
        <v>145</v>
      </c>
      <c r="G67" s="12">
        <v>2</v>
      </c>
      <c r="H67" t="s">
        <v>59</v>
      </c>
      <c r="I67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2</v>
      </c>
      <c r="F68" s="2" t="s">
        <v>145</v>
      </c>
      <c r="G68" s="12">
        <v>0</v>
      </c>
      <c r="H68" t="s">
        <v>88</v>
      </c>
      <c r="I68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0</v>
      </c>
      <c r="F69" s="2" t="s">
        <v>145</v>
      </c>
      <c r="G69" s="12">
        <v>3</v>
      </c>
      <c r="H69" t="s">
        <v>85</v>
      </c>
      <c r="I69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2</v>
      </c>
      <c r="F70" s="2" t="s">
        <v>145</v>
      </c>
      <c r="G70" s="12">
        <v>2</v>
      </c>
      <c r="H70" t="s">
        <v>82</v>
      </c>
      <c r="I70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1</v>
      </c>
      <c r="F71" s="2" t="s">
        <v>145</v>
      </c>
      <c r="G71" s="12">
        <v>1</v>
      </c>
      <c r="H71" t="s">
        <v>91</v>
      </c>
      <c r="I71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1</v>
      </c>
      <c r="F72" s="2" t="s">
        <v>145</v>
      </c>
      <c r="G72" s="12">
        <v>1</v>
      </c>
      <c r="H72" t="s">
        <v>78</v>
      </c>
      <c r="I72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0</v>
      </c>
      <c r="F73" s="2" t="s">
        <v>145</v>
      </c>
      <c r="G73" s="12">
        <v>3</v>
      </c>
      <c r="H73" t="s">
        <v>75</v>
      </c>
      <c r="I73" s="12">
        <f>IF(OR(Tabela_33470[[#This Row],[Placar Mandante]]="",Tabela_33470[[#This Row],[Placar Visitante]]="",Tabela_3[[#This Row],[Placar Mandante]]="",Tabela_3[[#This Row],[Placar Visitante]]=""),0,
IF(AND(Tabela_33470[[#This Row],[Placar Mandante]]=Tabela_3[[#This Row],[Placar Mandante]],Tabela_33470[[#This Row],[Placar Visitante]]=Tabela_3[[#This Row],[Placar Visitante]]),3,
IF(SIGN(Tabela_33470[[#This Row],[Placar Mandante]]-Tabela_33470[[#This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FC23-7E35-4D22-830B-16FDCF8FC527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6640625" style="11" hidden="1" customWidth="1"/>
    <col min="2" max="2" width="10.33203125" style="11" bestFit="1" customWidth="1"/>
    <col min="3" max="3" width="9.44140625" style="11" bestFit="1" customWidth="1"/>
    <col min="4" max="4" width="18.33203125" style="11" bestFit="1" customWidth="1"/>
    <col min="5" max="5" width="18.33203125" style="11" customWidth="1"/>
    <col min="6" max="6" width="4.109375" style="12" bestFit="1" customWidth="1"/>
    <col min="7" max="7" width="18.33203125" style="11" customWidth="1"/>
    <col min="8" max="8" width="18.33203125" style="11" bestFit="1" customWidth="1"/>
    <col min="9" max="9" width="8.88671875" style="11"/>
    <col min="10" max="10" width="11.21875" style="11" customWidth="1"/>
    <col min="11" max="11" width="10.3320312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0</v>
      </c>
      <c r="H2" t="s">
        <v>7</v>
      </c>
      <c r="I2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  <c r="J2" s="13"/>
      <c r="K2" s="3">
        <f>SUM(Tabela_334331[Pontuação])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3</v>
      </c>
      <c r="H3" t="s">
        <v>12</v>
      </c>
      <c r="I3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1</v>
      </c>
      <c r="H4" t="s">
        <v>16</v>
      </c>
      <c r="I4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1</v>
      </c>
      <c r="H5" t="s">
        <v>20</v>
      </c>
      <c r="I5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1</v>
      </c>
      <c r="H7" t="s">
        <v>28</v>
      </c>
      <c r="I7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3</v>
      </c>
      <c r="H8" t="s">
        <v>32</v>
      </c>
      <c r="I8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2</v>
      </c>
      <c r="H9" t="s">
        <v>35</v>
      </c>
      <c r="I9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5</v>
      </c>
      <c r="F10" s="12" t="s">
        <v>145</v>
      </c>
      <c r="G10" s="12">
        <v>0</v>
      </c>
      <c r="H10" t="s">
        <v>40</v>
      </c>
      <c r="I10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0</v>
      </c>
      <c r="H11" t="s">
        <v>44</v>
      </c>
      <c r="I11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0</v>
      </c>
      <c r="H12" t="s">
        <v>48</v>
      </c>
      <c r="I12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2</v>
      </c>
      <c r="F13" s="12" t="s">
        <v>145</v>
      </c>
      <c r="G13" s="12">
        <v>0</v>
      </c>
      <c r="H13" t="s">
        <v>52</v>
      </c>
      <c r="I13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6</v>
      </c>
      <c r="F14" s="12" t="s">
        <v>145</v>
      </c>
      <c r="G14" s="12">
        <v>0</v>
      </c>
      <c r="H14" t="s">
        <v>55</v>
      </c>
      <c r="I14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1</v>
      </c>
      <c r="H15" t="s">
        <v>60</v>
      </c>
      <c r="I15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2</v>
      </c>
      <c r="F17" s="12" t="s">
        <v>145</v>
      </c>
      <c r="G17" s="12">
        <v>0</v>
      </c>
      <c r="H17" t="s">
        <v>66</v>
      </c>
      <c r="I17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1</v>
      </c>
      <c r="H18" t="s">
        <v>69</v>
      </c>
      <c r="I18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3</v>
      </c>
      <c r="H19" t="s">
        <v>73</v>
      </c>
      <c r="I19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0</v>
      </c>
      <c r="H20" t="s">
        <v>76</v>
      </c>
      <c r="I20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0</v>
      </c>
      <c r="H21" t="s">
        <v>79</v>
      </c>
      <c r="I21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5</v>
      </c>
      <c r="F22" s="12" t="s">
        <v>145</v>
      </c>
      <c r="G22" s="12">
        <v>0</v>
      </c>
      <c r="H22" t="s">
        <v>83</v>
      </c>
      <c r="I22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1</v>
      </c>
      <c r="H23" t="s">
        <v>86</v>
      </c>
      <c r="I23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3</v>
      </c>
      <c r="F24" s="12" t="s">
        <v>145</v>
      </c>
      <c r="G24" s="12">
        <v>0</v>
      </c>
      <c r="H24" t="s">
        <v>89</v>
      </c>
      <c r="I24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3</v>
      </c>
      <c r="H25" t="s">
        <v>92</v>
      </c>
      <c r="I25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0</v>
      </c>
      <c r="H26" t="s">
        <v>7</v>
      </c>
      <c r="I26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3</v>
      </c>
      <c r="F27" s="12" t="s">
        <v>145</v>
      </c>
      <c r="G27" s="12">
        <v>0</v>
      </c>
      <c r="H27" t="s">
        <v>16</v>
      </c>
      <c r="I27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0</v>
      </c>
      <c r="H28" t="s">
        <v>23</v>
      </c>
      <c r="I28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1</v>
      </c>
      <c r="F29" s="12" t="s">
        <v>145</v>
      </c>
      <c r="G29" s="12">
        <v>0</v>
      </c>
      <c r="H29" t="s">
        <v>11</v>
      </c>
      <c r="I29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0</v>
      </c>
      <c r="H30" t="s">
        <v>34</v>
      </c>
      <c r="I30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2</v>
      </c>
      <c r="H31" t="s">
        <v>28</v>
      </c>
      <c r="I31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5</v>
      </c>
      <c r="F32" s="12" t="s">
        <v>145</v>
      </c>
      <c r="G32" s="12">
        <v>0</v>
      </c>
      <c r="H32" t="s">
        <v>31</v>
      </c>
      <c r="I32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2</v>
      </c>
      <c r="H33" t="s">
        <v>20</v>
      </c>
      <c r="I33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1</v>
      </c>
      <c r="H34" t="s">
        <v>51</v>
      </c>
      <c r="I34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1</v>
      </c>
      <c r="H35" t="s">
        <v>47</v>
      </c>
      <c r="I35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0</v>
      </c>
      <c r="H36" t="s">
        <v>40</v>
      </c>
      <c r="I36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2</v>
      </c>
      <c r="H37" t="s">
        <v>44</v>
      </c>
      <c r="I37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0</v>
      </c>
      <c r="H38" t="s">
        <v>62</v>
      </c>
      <c r="I38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1</v>
      </c>
      <c r="F39" s="12" t="s">
        <v>145</v>
      </c>
      <c r="G39" s="12">
        <v>0</v>
      </c>
      <c r="H39" t="s">
        <v>65</v>
      </c>
      <c r="I39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4</v>
      </c>
      <c r="F40" s="12" t="s">
        <v>145</v>
      </c>
      <c r="G40" s="12">
        <v>0</v>
      </c>
      <c r="H40" t="s">
        <v>55</v>
      </c>
      <c r="I40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2</v>
      </c>
      <c r="H41" t="s">
        <v>60</v>
      </c>
      <c r="I41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0</v>
      </c>
      <c r="H42" t="s">
        <v>78</v>
      </c>
      <c r="I42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4</v>
      </c>
      <c r="F43" s="12" t="s">
        <v>145</v>
      </c>
      <c r="G43" s="12">
        <v>0</v>
      </c>
      <c r="H43" t="s">
        <v>72</v>
      </c>
      <c r="I43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2</v>
      </c>
      <c r="F44" s="12" t="s">
        <v>145</v>
      </c>
      <c r="G44" s="12">
        <v>2</v>
      </c>
      <c r="H44" t="s">
        <v>69</v>
      </c>
      <c r="I44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2</v>
      </c>
      <c r="H45" t="s">
        <v>76</v>
      </c>
      <c r="I45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0</v>
      </c>
      <c r="H46" t="s">
        <v>91</v>
      </c>
      <c r="I46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0</v>
      </c>
      <c r="H47" t="s">
        <v>88</v>
      </c>
      <c r="I47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4</v>
      </c>
      <c r="H48" t="s">
        <v>86</v>
      </c>
      <c r="I48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5</v>
      </c>
      <c r="F49" s="12" t="s">
        <v>145</v>
      </c>
      <c r="G49" s="12">
        <v>1</v>
      </c>
      <c r="H49" t="s">
        <v>83</v>
      </c>
      <c r="I49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2</v>
      </c>
      <c r="F50" s="12" t="s">
        <v>145</v>
      </c>
      <c r="G50" s="12">
        <v>2</v>
      </c>
      <c r="H50" t="s">
        <v>23</v>
      </c>
      <c r="I50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1</v>
      </c>
      <c r="H51" t="s">
        <v>15</v>
      </c>
      <c r="I51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2</v>
      </c>
      <c r="H52" t="s">
        <v>27</v>
      </c>
      <c r="I52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0</v>
      </c>
      <c r="H53" t="s">
        <v>31</v>
      </c>
      <c r="I53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2</v>
      </c>
      <c r="F54" s="12" t="s">
        <v>145</v>
      </c>
      <c r="G54" s="12">
        <v>1</v>
      </c>
      <c r="H54" t="s">
        <v>11</v>
      </c>
      <c r="I54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1</v>
      </c>
      <c r="H55" t="s">
        <v>6</v>
      </c>
      <c r="I55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3</v>
      </c>
      <c r="H56" t="s">
        <v>47</v>
      </c>
      <c r="I56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0</v>
      </c>
      <c r="F57" s="12" t="s">
        <v>145</v>
      </c>
      <c r="G57" s="12">
        <v>2</v>
      </c>
      <c r="H57" t="s">
        <v>39</v>
      </c>
      <c r="I57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2</v>
      </c>
      <c r="H58" t="s">
        <v>51</v>
      </c>
      <c r="I58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3</v>
      </c>
      <c r="H59" t="s">
        <v>43</v>
      </c>
      <c r="I59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3</v>
      </c>
      <c r="F60" s="12" t="s">
        <v>145</v>
      </c>
      <c r="G60" s="12">
        <v>1</v>
      </c>
      <c r="H60" t="s">
        <v>34</v>
      </c>
      <c r="I60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2</v>
      </c>
      <c r="F61" s="12" t="s">
        <v>145</v>
      </c>
      <c r="G61" s="12">
        <v>2</v>
      </c>
      <c r="H61" t="s">
        <v>19</v>
      </c>
      <c r="I61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2</v>
      </c>
      <c r="H62" t="s">
        <v>68</v>
      </c>
      <c r="I62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3</v>
      </c>
      <c r="F63" s="12" t="s">
        <v>145</v>
      </c>
      <c r="G63" s="12">
        <v>0</v>
      </c>
      <c r="H63" t="s">
        <v>72</v>
      </c>
      <c r="I63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3</v>
      </c>
      <c r="H64" t="s">
        <v>62</v>
      </c>
      <c r="I64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2</v>
      </c>
      <c r="H65" t="s">
        <v>54</v>
      </c>
      <c r="I65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1</v>
      </c>
      <c r="H66" t="s">
        <v>65</v>
      </c>
      <c r="I66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3</v>
      </c>
      <c r="H67" t="s">
        <v>59</v>
      </c>
      <c r="I67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1</v>
      </c>
      <c r="H68" t="s">
        <v>88</v>
      </c>
      <c r="I68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5</v>
      </c>
      <c r="H69" t="s">
        <v>85</v>
      </c>
      <c r="I69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2</v>
      </c>
      <c r="F70" s="12" t="s">
        <v>145</v>
      </c>
      <c r="G70" s="12">
        <v>2</v>
      </c>
      <c r="H70" t="s">
        <v>82</v>
      </c>
      <c r="I70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3</v>
      </c>
      <c r="H71" t="s">
        <v>91</v>
      </c>
      <c r="I71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5</v>
      </c>
      <c r="H73" t="s">
        <v>75</v>
      </c>
      <c r="I73" s="12">
        <f>IF(OR(Tabela_334331[[#This Row],[Placar Mandante]]="",Tabela_334331[[#This Row],[Placar Visitante]]="",Tabela_3[[#This Row],[Placar Mandante]]="",Tabela_3[[#This Row],[Placar Visitante]]=""),0,
IF(AND(Tabela_334331[[#This Row],[Placar Mandante]]=Tabela_3[[#This Row],[Placar Mandante]],Tabela_334331[[#This Row],[Placar Visitante]]=Tabela_3[[#This Row],[Placar Visitante]]),3,
IF(SIGN(Tabela_334331[[#This Row],[Placar Mandante]]-Tabela_334331[[#This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658A-4E95-4D0F-9FDD-740ACB45981B}">
  <sheetPr codeName="Planilha19"/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3</v>
      </c>
      <c r="F2" s="2" t="s">
        <v>145</v>
      </c>
      <c r="G2" s="12">
        <v>1</v>
      </c>
      <c r="H2" t="s">
        <v>7</v>
      </c>
      <c r="I2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  <c r="K2" s="3">
        <f>SUM(Tabela_3347[Pontuação])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1</v>
      </c>
      <c r="F3" s="2" t="s">
        <v>145</v>
      </c>
      <c r="G3" s="12">
        <v>1</v>
      </c>
      <c r="H3" t="s">
        <v>12</v>
      </c>
      <c r="I3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1</v>
      </c>
      <c r="F4" s="2" t="s">
        <v>145</v>
      </c>
      <c r="G4" s="12">
        <v>0</v>
      </c>
      <c r="H4" t="s">
        <v>16</v>
      </c>
      <c r="I4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1</v>
      </c>
      <c r="F5" s="2" t="s">
        <v>145</v>
      </c>
      <c r="G5" s="12">
        <v>0</v>
      </c>
      <c r="H5" t="s">
        <v>20</v>
      </c>
      <c r="I5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1</v>
      </c>
      <c r="F6" s="2" t="s">
        <v>145</v>
      </c>
      <c r="G6" s="12">
        <v>3</v>
      </c>
      <c r="H6" t="s">
        <v>24</v>
      </c>
      <c r="I6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3</v>
      </c>
      <c r="F7" s="2" t="s">
        <v>145</v>
      </c>
      <c r="G7" s="12">
        <v>1</v>
      </c>
      <c r="H7" t="s">
        <v>28</v>
      </c>
      <c r="I7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1</v>
      </c>
      <c r="F8" s="2" t="s">
        <v>145</v>
      </c>
      <c r="G8" s="12">
        <v>3</v>
      </c>
      <c r="H8" t="s">
        <v>32</v>
      </c>
      <c r="I8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0</v>
      </c>
      <c r="F9" s="2" t="s">
        <v>145</v>
      </c>
      <c r="G9" s="12">
        <v>2</v>
      </c>
      <c r="H9" t="s">
        <v>35</v>
      </c>
      <c r="I9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3</v>
      </c>
      <c r="F10" s="2" t="s">
        <v>145</v>
      </c>
      <c r="G10" s="12">
        <v>0</v>
      </c>
      <c r="H10" t="s">
        <v>40</v>
      </c>
      <c r="I10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2</v>
      </c>
      <c r="F11" s="2" t="s">
        <v>145</v>
      </c>
      <c r="G11" s="12">
        <v>1</v>
      </c>
      <c r="H11" t="s">
        <v>44</v>
      </c>
      <c r="I11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0</v>
      </c>
      <c r="F12" s="2" t="s">
        <v>145</v>
      </c>
      <c r="G12" s="12">
        <v>1</v>
      </c>
      <c r="H12" t="s">
        <v>48</v>
      </c>
      <c r="I12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2</v>
      </c>
      <c r="F13" s="2" t="s">
        <v>145</v>
      </c>
      <c r="G13" s="12">
        <v>1</v>
      </c>
      <c r="H13" t="s">
        <v>52</v>
      </c>
      <c r="I13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3</v>
      </c>
      <c r="F14" s="2" t="s">
        <v>145</v>
      </c>
      <c r="G14" s="12">
        <v>0</v>
      </c>
      <c r="H14" t="s">
        <v>55</v>
      </c>
      <c r="I14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3</v>
      </c>
      <c r="F15" s="2" t="s">
        <v>145</v>
      </c>
      <c r="G15" s="12">
        <v>1</v>
      </c>
      <c r="H15" t="s">
        <v>60</v>
      </c>
      <c r="I15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1</v>
      </c>
      <c r="F16" s="2" t="s">
        <v>145</v>
      </c>
      <c r="G16" s="12">
        <v>3</v>
      </c>
      <c r="H16" t="s">
        <v>63</v>
      </c>
      <c r="I16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1</v>
      </c>
      <c r="F17" s="2" t="s">
        <v>145</v>
      </c>
      <c r="G17" s="12">
        <v>0</v>
      </c>
      <c r="H17" t="s">
        <v>66</v>
      </c>
      <c r="I17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3</v>
      </c>
      <c r="F18" s="2" t="s">
        <v>145</v>
      </c>
      <c r="G18" s="12">
        <v>1</v>
      </c>
      <c r="H18" t="s">
        <v>69</v>
      </c>
      <c r="I18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1</v>
      </c>
      <c r="F19" s="2" t="s">
        <v>145</v>
      </c>
      <c r="G19" s="12">
        <v>3</v>
      </c>
      <c r="H19" t="s">
        <v>73</v>
      </c>
      <c r="I19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3</v>
      </c>
      <c r="F20" s="2" t="s">
        <v>145</v>
      </c>
      <c r="G20" s="12">
        <v>0</v>
      </c>
      <c r="H20" t="s">
        <v>76</v>
      </c>
      <c r="I20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3</v>
      </c>
      <c r="F21" s="2" t="s">
        <v>145</v>
      </c>
      <c r="G21" s="12">
        <v>1</v>
      </c>
      <c r="H21" t="s">
        <v>79</v>
      </c>
      <c r="I21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3</v>
      </c>
      <c r="F22" s="2" t="s">
        <v>145</v>
      </c>
      <c r="G22" s="12">
        <v>0</v>
      </c>
      <c r="H22" t="s">
        <v>83</v>
      </c>
      <c r="I22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2</v>
      </c>
      <c r="F23" s="2" t="s">
        <v>145</v>
      </c>
      <c r="G23" s="12">
        <v>1</v>
      </c>
      <c r="H23" t="s">
        <v>86</v>
      </c>
      <c r="I23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1</v>
      </c>
      <c r="F24" s="2" t="s">
        <v>145</v>
      </c>
      <c r="G24" s="12">
        <v>0</v>
      </c>
      <c r="H24" t="s">
        <v>89</v>
      </c>
      <c r="I24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1</v>
      </c>
      <c r="F25" s="2" t="s">
        <v>145</v>
      </c>
      <c r="G25" s="12">
        <v>3</v>
      </c>
      <c r="H25" t="s">
        <v>92</v>
      </c>
      <c r="I25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2</v>
      </c>
      <c r="F26" s="2" t="s">
        <v>145</v>
      </c>
      <c r="G26" s="12">
        <v>0</v>
      </c>
      <c r="H26" t="s">
        <v>7</v>
      </c>
      <c r="I26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3</v>
      </c>
      <c r="F27" s="2" t="s">
        <v>145</v>
      </c>
      <c r="G27" s="12">
        <v>1</v>
      </c>
      <c r="H27" t="s">
        <v>16</v>
      </c>
      <c r="I27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1</v>
      </c>
      <c r="F28" s="2" t="s">
        <v>145</v>
      </c>
      <c r="G28" s="12">
        <v>0</v>
      </c>
      <c r="H28" t="s">
        <v>23</v>
      </c>
      <c r="I28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2</v>
      </c>
      <c r="F29" s="2" t="s">
        <v>145</v>
      </c>
      <c r="G29" s="12">
        <v>1</v>
      </c>
      <c r="H29" t="s">
        <v>11</v>
      </c>
      <c r="I29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2</v>
      </c>
      <c r="F30" s="2" t="s">
        <v>145</v>
      </c>
      <c r="G30" s="12">
        <v>0</v>
      </c>
      <c r="H30" t="s">
        <v>34</v>
      </c>
      <c r="I30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1</v>
      </c>
      <c r="F31" s="2" t="s">
        <v>145</v>
      </c>
      <c r="G31" s="12">
        <v>2</v>
      </c>
      <c r="H31" t="s">
        <v>28</v>
      </c>
      <c r="I31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3</v>
      </c>
      <c r="F32" s="2" t="s">
        <v>145</v>
      </c>
      <c r="G32" s="12">
        <v>0</v>
      </c>
      <c r="H32" t="s">
        <v>31</v>
      </c>
      <c r="I32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1</v>
      </c>
      <c r="F33" s="2" t="s">
        <v>145</v>
      </c>
      <c r="G33" s="12">
        <v>1</v>
      </c>
      <c r="H33" t="s">
        <v>20</v>
      </c>
      <c r="I33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2</v>
      </c>
      <c r="F34" s="2" t="s">
        <v>145</v>
      </c>
      <c r="G34" s="12">
        <v>0</v>
      </c>
      <c r="H34" t="s">
        <v>51</v>
      </c>
      <c r="I34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3</v>
      </c>
      <c r="F35" s="2" t="s">
        <v>145</v>
      </c>
      <c r="G35" s="12">
        <v>1</v>
      </c>
      <c r="H35" t="s">
        <v>47</v>
      </c>
      <c r="I35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3</v>
      </c>
      <c r="F36" s="2" t="s">
        <v>145</v>
      </c>
      <c r="G36" s="12">
        <v>0</v>
      </c>
      <c r="H36" t="s">
        <v>40</v>
      </c>
      <c r="I36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0</v>
      </c>
      <c r="F37" s="2" t="s">
        <v>145</v>
      </c>
      <c r="G37" s="12">
        <v>2</v>
      </c>
      <c r="H37" t="s">
        <v>44</v>
      </c>
      <c r="I37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3</v>
      </c>
      <c r="F38" s="2" t="s">
        <v>145</v>
      </c>
      <c r="G38" s="12">
        <v>0</v>
      </c>
      <c r="H38" t="s">
        <v>62</v>
      </c>
      <c r="I38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3</v>
      </c>
      <c r="F39" s="2" t="s">
        <v>145</v>
      </c>
      <c r="G39" s="12">
        <v>1</v>
      </c>
      <c r="H39" t="s">
        <v>65</v>
      </c>
      <c r="I39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3</v>
      </c>
      <c r="F40" s="2" t="s">
        <v>145</v>
      </c>
      <c r="G40" s="12">
        <v>0</v>
      </c>
      <c r="H40" t="s">
        <v>55</v>
      </c>
      <c r="I40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1</v>
      </c>
      <c r="F41" s="2" t="s">
        <v>145</v>
      </c>
      <c r="G41" s="12">
        <v>2</v>
      </c>
      <c r="H41" t="s">
        <v>60</v>
      </c>
      <c r="I41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3</v>
      </c>
      <c r="F42" s="2" t="s">
        <v>145</v>
      </c>
      <c r="G42" s="12">
        <v>0</v>
      </c>
      <c r="H42" t="s">
        <v>78</v>
      </c>
      <c r="I42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3</v>
      </c>
      <c r="F43" s="2" t="s">
        <v>145</v>
      </c>
      <c r="G43" s="12">
        <v>0</v>
      </c>
      <c r="H43" t="s">
        <v>72</v>
      </c>
      <c r="I43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1</v>
      </c>
      <c r="F44" s="2" t="s">
        <v>145</v>
      </c>
      <c r="G44" s="12">
        <v>0</v>
      </c>
      <c r="H44" t="s">
        <v>69</v>
      </c>
      <c r="I44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0</v>
      </c>
      <c r="F45" s="2" t="s">
        <v>145</v>
      </c>
      <c r="G45" s="12">
        <v>2</v>
      </c>
      <c r="H45" t="s">
        <v>76</v>
      </c>
      <c r="I45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3</v>
      </c>
      <c r="F46" s="2" t="s">
        <v>145</v>
      </c>
      <c r="G46" s="12">
        <v>0</v>
      </c>
      <c r="H46" t="s">
        <v>91</v>
      </c>
      <c r="I46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3</v>
      </c>
      <c r="F47" s="2" t="s">
        <v>145</v>
      </c>
      <c r="G47" s="12">
        <v>0</v>
      </c>
      <c r="H47" t="s">
        <v>88</v>
      </c>
      <c r="I47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1</v>
      </c>
      <c r="F48" s="2" t="s">
        <v>145</v>
      </c>
      <c r="G48" s="12">
        <v>3</v>
      </c>
      <c r="H48" t="s">
        <v>86</v>
      </c>
      <c r="I48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3</v>
      </c>
      <c r="F49" s="2" t="s">
        <v>145</v>
      </c>
      <c r="G49" s="12">
        <v>0</v>
      </c>
      <c r="H49" t="s">
        <v>83</v>
      </c>
      <c r="I49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1</v>
      </c>
      <c r="F50" s="2" t="s">
        <v>145</v>
      </c>
      <c r="G50" s="12">
        <v>1</v>
      </c>
      <c r="H50" t="s">
        <v>23</v>
      </c>
      <c r="I50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2</v>
      </c>
      <c r="F51" s="2" t="s">
        <v>145</v>
      </c>
      <c r="G51" s="12">
        <v>0</v>
      </c>
      <c r="H51" t="s">
        <v>15</v>
      </c>
      <c r="I51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1</v>
      </c>
      <c r="F52" s="2" t="s">
        <v>145</v>
      </c>
      <c r="G52" s="12">
        <v>3</v>
      </c>
      <c r="H52" t="s">
        <v>27</v>
      </c>
      <c r="I52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3</v>
      </c>
      <c r="F53" s="2" t="s">
        <v>145</v>
      </c>
      <c r="G53" s="12">
        <v>0</v>
      </c>
      <c r="H53" t="s">
        <v>31</v>
      </c>
      <c r="I53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0</v>
      </c>
      <c r="F54" s="2" t="s">
        <v>145</v>
      </c>
      <c r="G54" s="12">
        <v>2</v>
      </c>
      <c r="H54" t="s">
        <v>11</v>
      </c>
      <c r="I54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1</v>
      </c>
      <c r="F55" s="2" t="s">
        <v>145</v>
      </c>
      <c r="G55" s="12">
        <v>2</v>
      </c>
      <c r="H55" t="s">
        <v>6</v>
      </c>
      <c r="I55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1</v>
      </c>
      <c r="F56" s="2" t="s">
        <v>145</v>
      </c>
      <c r="G56" s="12">
        <v>3</v>
      </c>
      <c r="H56" t="s">
        <v>47</v>
      </c>
      <c r="I56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1</v>
      </c>
      <c r="F57" s="2" t="s">
        <v>145</v>
      </c>
      <c r="G57" s="12">
        <v>3</v>
      </c>
      <c r="H57" t="s">
        <v>39</v>
      </c>
      <c r="I57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1</v>
      </c>
      <c r="F58" s="2" t="s">
        <v>145</v>
      </c>
      <c r="G58" s="12">
        <v>0</v>
      </c>
      <c r="H58" t="s">
        <v>51</v>
      </c>
      <c r="I58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1</v>
      </c>
      <c r="F59" s="2" t="s">
        <v>145</v>
      </c>
      <c r="G59" s="12">
        <v>3</v>
      </c>
      <c r="H59" t="s">
        <v>43</v>
      </c>
      <c r="I59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2</v>
      </c>
      <c r="F60" s="2" t="s">
        <v>145</v>
      </c>
      <c r="G60" s="12">
        <v>1</v>
      </c>
      <c r="H60" t="s">
        <v>34</v>
      </c>
      <c r="I60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0</v>
      </c>
      <c r="F61" s="2" t="s">
        <v>145</v>
      </c>
      <c r="G61" s="12">
        <v>1</v>
      </c>
      <c r="H61" t="s">
        <v>19</v>
      </c>
      <c r="I61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1</v>
      </c>
      <c r="F62" s="2" t="s">
        <v>145</v>
      </c>
      <c r="G62" s="12">
        <v>3</v>
      </c>
      <c r="H62" t="s">
        <v>68</v>
      </c>
      <c r="I62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3</v>
      </c>
      <c r="F63" s="2" t="s">
        <v>145</v>
      </c>
      <c r="G63" s="12">
        <v>1</v>
      </c>
      <c r="H63" t="s">
        <v>72</v>
      </c>
      <c r="I63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0</v>
      </c>
      <c r="F64" s="2" t="s">
        <v>145</v>
      </c>
      <c r="G64" s="12">
        <v>1</v>
      </c>
      <c r="H64" t="s">
        <v>62</v>
      </c>
      <c r="I64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1</v>
      </c>
      <c r="F65" s="2" t="s">
        <v>145</v>
      </c>
      <c r="G65" s="12">
        <v>2</v>
      </c>
      <c r="H65" t="s">
        <v>54</v>
      </c>
      <c r="I65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1</v>
      </c>
      <c r="F66" s="2" t="s">
        <v>145</v>
      </c>
      <c r="G66" s="12">
        <v>0</v>
      </c>
      <c r="H66" t="s">
        <v>65</v>
      </c>
      <c r="I66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1</v>
      </c>
      <c r="F67" s="2" t="s">
        <v>145</v>
      </c>
      <c r="G67" s="12">
        <v>3</v>
      </c>
      <c r="H67" t="s">
        <v>59</v>
      </c>
      <c r="I67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3</v>
      </c>
      <c r="F68" s="2" t="s">
        <v>145</v>
      </c>
      <c r="G68" s="12">
        <v>1</v>
      </c>
      <c r="H68" t="s">
        <v>88</v>
      </c>
      <c r="I68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1</v>
      </c>
      <c r="F69" s="2" t="s">
        <v>145</v>
      </c>
      <c r="G69" s="12">
        <v>3</v>
      </c>
      <c r="H69" t="s">
        <v>85</v>
      </c>
      <c r="I69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0</v>
      </c>
      <c r="F70" s="2" t="s">
        <v>145</v>
      </c>
      <c r="G70" s="12">
        <v>1</v>
      </c>
      <c r="H70" t="s">
        <v>82</v>
      </c>
      <c r="I70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1</v>
      </c>
      <c r="F71" s="2" t="s">
        <v>145</v>
      </c>
      <c r="G71" s="12">
        <v>2</v>
      </c>
      <c r="H71" t="s">
        <v>91</v>
      </c>
      <c r="I71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0</v>
      </c>
      <c r="F72" s="2" t="s">
        <v>145</v>
      </c>
      <c r="G72" s="12">
        <v>1</v>
      </c>
      <c r="H72" t="s">
        <v>78</v>
      </c>
      <c r="I72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1</v>
      </c>
      <c r="F73" s="2" t="s">
        <v>145</v>
      </c>
      <c r="G73" s="12">
        <v>3</v>
      </c>
      <c r="H73" t="s">
        <v>75</v>
      </c>
      <c r="I73" s="2">
        <f>IF(OR(Tabela_3347[[#This Row],[Placar Mandante]]="",Tabela_3347[[#This Row],[Placar Visitante]]="",Tabela_3[[#This Row],[Placar Mandante]]="",Tabela_3[[#This Row],[Placar Visitante]]=""),0,
IF(AND(Tabela_3347[[#This Row],[Placar Mandante]]=Tabela_3[[#This Row],[Placar Mandante]],Tabela_3347[[#This Row],[Placar Visitante]]=Tabela_3[[#This Row],[Placar Visitante]]),3,
IF(SIGN(Tabela_3347[[#This Row],[Placar Mandante]]-Tabela_3347[[#This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2CF0-6A27-4ECF-B9A8-6C8FA158110F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88671875" style="11" hidden="1" customWidth="1"/>
    <col min="2" max="2" width="10.33203125" style="11" bestFit="1" customWidth="1"/>
    <col min="3" max="3" width="9.44140625" style="11" bestFit="1" customWidth="1"/>
    <col min="4" max="4" width="18.109375" style="11" bestFit="1" customWidth="1"/>
    <col min="5" max="5" width="18.109375" style="11" customWidth="1"/>
    <col min="6" max="6" width="4.21875" style="12" bestFit="1" customWidth="1"/>
    <col min="7" max="7" width="18.109375" style="11" customWidth="1"/>
    <col min="8" max="8" width="18.109375" style="11" bestFit="1" customWidth="1"/>
    <col min="9" max="9" width="8.88671875" style="11"/>
    <col min="10" max="10" width="16.7773437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1</v>
      </c>
      <c r="H2" t="s">
        <v>7</v>
      </c>
      <c r="I2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  <c r="J2" s="13"/>
      <c r="K2" s="3">
        <f>SUM(Tabela_33466[Pontuação])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0</v>
      </c>
      <c r="F3" s="12" t="s">
        <v>145</v>
      </c>
      <c r="G3" s="12">
        <v>1</v>
      </c>
      <c r="H3" t="s">
        <v>12</v>
      </c>
      <c r="I3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0</v>
      </c>
      <c r="F4" s="12" t="s">
        <v>145</v>
      </c>
      <c r="G4" s="12">
        <v>2</v>
      </c>
      <c r="H4" t="s">
        <v>16</v>
      </c>
      <c r="I4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1</v>
      </c>
      <c r="H5" t="s">
        <v>20</v>
      </c>
      <c r="I5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1</v>
      </c>
      <c r="H6" t="s">
        <v>24</v>
      </c>
      <c r="I6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2</v>
      </c>
      <c r="H7" t="s">
        <v>28</v>
      </c>
      <c r="I7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2</v>
      </c>
      <c r="H8" t="s">
        <v>32</v>
      </c>
      <c r="I8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0</v>
      </c>
      <c r="F9" s="12" t="s">
        <v>145</v>
      </c>
      <c r="G9" s="12">
        <v>0</v>
      </c>
      <c r="H9" t="s">
        <v>35</v>
      </c>
      <c r="I9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2</v>
      </c>
      <c r="F10" s="12" t="s">
        <v>145</v>
      </c>
      <c r="G10" s="12">
        <v>0</v>
      </c>
      <c r="H10" t="s">
        <v>40</v>
      </c>
      <c r="I10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1</v>
      </c>
      <c r="H11" t="s">
        <v>44</v>
      </c>
      <c r="I11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1</v>
      </c>
      <c r="H12" t="s">
        <v>48</v>
      </c>
      <c r="I12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0</v>
      </c>
      <c r="H13" t="s">
        <v>52</v>
      </c>
      <c r="I13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0</v>
      </c>
      <c r="H14" t="s">
        <v>55</v>
      </c>
      <c r="I14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1</v>
      </c>
      <c r="F15" s="12" t="s">
        <v>145</v>
      </c>
      <c r="G15" s="12">
        <v>0</v>
      </c>
      <c r="H15" t="s">
        <v>60</v>
      </c>
      <c r="I15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1</v>
      </c>
      <c r="F16" s="12" t="s">
        <v>145</v>
      </c>
      <c r="G16" s="12">
        <v>1</v>
      </c>
      <c r="H16" t="s">
        <v>63</v>
      </c>
      <c r="I16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0</v>
      </c>
      <c r="F17" s="12" t="s">
        <v>145</v>
      </c>
      <c r="G17" s="12">
        <v>0</v>
      </c>
      <c r="H17" t="s">
        <v>66</v>
      </c>
      <c r="I17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1</v>
      </c>
      <c r="H18" t="s">
        <v>69</v>
      </c>
      <c r="I18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2</v>
      </c>
      <c r="H19" t="s">
        <v>73</v>
      </c>
      <c r="I19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1</v>
      </c>
      <c r="F20" s="12" t="s">
        <v>145</v>
      </c>
      <c r="G20" s="12">
        <v>0</v>
      </c>
      <c r="H20" t="s">
        <v>76</v>
      </c>
      <c r="I20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0</v>
      </c>
      <c r="F21" s="12" t="s">
        <v>145</v>
      </c>
      <c r="G21" s="12">
        <v>0</v>
      </c>
      <c r="H21" t="s">
        <v>79</v>
      </c>
      <c r="I21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2</v>
      </c>
      <c r="F22" s="12" t="s">
        <v>145</v>
      </c>
      <c r="G22" s="12">
        <v>0</v>
      </c>
      <c r="H22" t="s">
        <v>83</v>
      </c>
      <c r="I22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1</v>
      </c>
      <c r="F23" s="12" t="s">
        <v>145</v>
      </c>
      <c r="G23" s="12">
        <v>1</v>
      </c>
      <c r="H23" t="s">
        <v>86</v>
      </c>
      <c r="I23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1</v>
      </c>
      <c r="F24" s="12" t="s">
        <v>145</v>
      </c>
      <c r="G24" s="12">
        <v>0</v>
      </c>
      <c r="H24" t="s">
        <v>89</v>
      </c>
      <c r="I24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3</v>
      </c>
      <c r="H25" t="s">
        <v>92</v>
      </c>
      <c r="I25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0</v>
      </c>
      <c r="H26" t="s">
        <v>7</v>
      </c>
      <c r="I26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0</v>
      </c>
      <c r="F27" s="12" t="s">
        <v>145</v>
      </c>
      <c r="G27" s="12">
        <v>0</v>
      </c>
      <c r="H27" t="s">
        <v>16</v>
      </c>
      <c r="I27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1</v>
      </c>
      <c r="F28" s="12" t="s">
        <v>145</v>
      </c>
      <c r="G28" s="12">
        <v>1</v>
      </c>
      <c r="H28" t="s">
        <v>23</v>
      </c>
      <c r="I28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1</v>
      </c>
      <c r="F30" s="12" t="s">
        <v>145</v>
      </c>
      <c r="G30" s="12">
        <v>0</v>
      </c>
      <c r="H30" t="s">
        <v>34</v>
      </c>
      <c r="I30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2</v>
      </c>
      <c r="H31" t="s">
        <v>28</v>
      </c>
      <c r="I31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0</v>
      </c>
      <c r="H32" t="s">
        <v>31</v>
      </c>
      <c r="I32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1</v>
      </c>
      <c r="H33" t="s">
        <v>20</v>
      </c>
      <c r="I33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0</v>
      </c>
      <c r="H34" t="s">
        <v>51</v>
      </c>
      <c r="I34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1</v>
      </c>
      <c r="F35" s="12" t="s">
        <v>145</v>
      </c>
      <c r="G35" s="12">
        <v>1</v>
      </c>
      <c r="H35" t="s">
        <v>47</v>
      </c>
      <c r="I35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0</v>
      </c>
      <c r="H36" t="s">
        <v>40</v>
      </c>
      <c r="I36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2</v>
      </c>
      <c r="H37" t="s">
        <v>44</v>
      </c>
      <c r="I37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1</v>
      </c>
      <c r="H38" t="s">
        <v>62</v>
      </c>
      <c r="I38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0</v>
      </c>
      <c r="H39" t="s">
        <v>65</v>
      </c>
      <c r="I39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0</v>
      </c>
      <c r="H40" t="s">
        <v>55</v>
      </c>
      <c r="I40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1</v>
      </c>
      <c r="F41" s="12" t="s">
        <v>145</v>
      </c>
      <c r="G41" s="12">
        <v>2</v>
      </c>
      <c r="H41" t="s">
        <v>60</v>
      </c>
      <c r="I41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1</v>
      </c>
      <c r="F42" s="12" t="s">
        <v>145</v>
      </c>
      <c r="G42" s="12">
        <v>0</v>
      </c>
      <c r="H42" t="s">
        <v>78</v>
      </c>
      <c r="I42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4</v>
      </c>
      <c r="F43" s="12" t="s">
        <v>145</v>
      </c>
      <c r="G43" s="12">
        <v>0</v>
      </c>
      <c r="H43" t="s">
        <v>72</v>
      </c>
      <c r="I43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1</v>
      </c>
      <c r="H44" t="s">
        <v>69</v>
      </c>
      <c r="I44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0</v>
      </c>
      <c r="H45" t="s">
        <v>76</v>
      </c>
      <c r="I45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2</v>
      </c>
      <c r="F46" s="12" t="s">
        <v>145</v>
      </c>
      <c r="G46" s="12">
        <v>0</v>
      </c>
      <c r="H46" t="s">
        <v>91</v>
      </c>
      <c r="I46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3</v>
      </c>
      <c r="F47" s="12" t="s">
        <v>145</v>
      </c>
      <c r="G47" s="12">
        <v>1</v>
      </c>
      <c r="H47" t="s">
        <v>88</v>
      </c>
      <c r="I47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1</v>
      </c>
      <c r="F48" s="12" t="s">
        <v>145</v>
      </c>
      <c r="G48" s="12">
        <v>2</v>
      </c>
      <c r="H48" t="s">
        <v>86</v>
      </c>
      <c r="I48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1</v>
      </c>
      <c r="F49" s="12" t="s">
        <v>145</v>
      </c>
      <c r="G49" s="12">
        <v>1</v>
      </c>
      <c r="H49" t="s">
        <v>83</v>
      </c>
      <c r="I49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0</v>
      </c>
      <c r="H50" t="s">
        <v>23</v>
      </c>
      <c r="I50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0</v>
      </c>
      <c r="F51" s="12" t="s">
        <v>145</v>
      </c>
      <c r="G51" s="12">
        <v>0</v>
      </c>
      <c r="H51" t="s">
        <v>15</v>
      </c>
      <c r="I51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1</v>
      </c>
      <c r="F52" s="12" t="s">
        <v>145</v>
      </c>
      <c r="G52" s="12">
        <v>2</v>
      </c>
      <c r="H52" t="s">
        <v>27</v>
      </c>
      <c r="I52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0</v>
      </c>
      <c r="H53" t="s">
        <v>31</v>
      </c>
      <c r="I53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0</v>
      </c>
      <c r="H54" t="s">
        <v>11</v>
      </c>
      <c r="I54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2</v>
      </c>
      <c r="F55" s="12" t="s">
        <v>145</v>
      </c>
      <c r="G55" s="12">
        <v>2</v>
      </c>
      <c r="H55" t="s">
        <v>6</v>
      </c>
      <c r="I55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1</v>
      </c>
      <c r="F56" s="12" t="s">
        <v>145</v>
      </c>
      <c r="G56" s="12">
        <v>3</v>
      </c>
      <c r="H56" t="s">
        <v>47</v>
      </c>
      <c r="I56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2</v>
      </c>
      <c r="H57" t="s">
        <v>39</v>
      </c>
      <c r="I57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2</v>
      </c>
      <c r="H58" t="s">
        <v>51</v>
      </c>
      <c r="I58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3</v>
      </c>
      <c r="H59" t="s">
        <v>43</v>
      </c>
      <c r="I59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0</v>
      </c>
      <c r="H60" t="s">
        <v>34</v>
      </c>
      <c r="I60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0</v>
      </c>
      <c r="F61" s="12" t="s">
        <v>145</v>
      </c>
      <c r="G61" s="12">
        <v>0</v>
      </c>
      <c r="H61" t="s">
        <v>19</v>
      </c>
      <c r="I61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2</v>
      </c>
      <c r="H62" t="s">
        <v>68</v>
      </c>
      <c r="I62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0</v>
      </c>
      <c r="H63" t="s">
        <v>72</v>
      </c>
      <c r="I63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1</v>
      </c>
      <c r="H64" t="s">
        <v>62</v>
      </c>
      <c r="I64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2</v>
      </c>
      <c r="F65" s="12" t="s">
        <v>145</v>
      </c>
      <c r="G65" s="12">
        <v>3</v>
      </c>
      <c r="H65" t="s">
        <v>54</v>
      </c>
      <c r="I65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1</v>
      </c>
      <c r="H66" t="s">
        <v>65</v>
      </c>
      <c r="I66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1</v>
      </c>
      <c r="F67" s="12" t="s">
        <v>145</v>
      </c>
      <c r="G67" s="12">
        <v>2</v>
      </c>
      <c r="H67" t="s">
        <v>59</v>
      </c>
      <c r="I67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3</v>
      </c>
      <c r="F68" s="12" t="s">
        <v>145</v>
      </c>
      <c r="G68" s="12">
        <v>1</v>
      </c>
      <c r="H68" t="s">
        <v>88</v>
      </c>
      <c r="I68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2</v>
      </c>
      <c r="H69" t="s">
        <v>85</v>
      </c>
      <c r="I69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2</v>
      </c>
      <c r="H70" t="s">
        <v>82</v>
      </c>
      <c r="I70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1</v>
      </c>
      <c r="H71" t="s">
        <v>91</v>
      </c>
      <c r="I71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0</v>
      </c>
      <c r="H72" t="s">
        <v>78</v>
      </c>
      <c r="I72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1</v>
      </c>
      <c r="F73" s="12" t="s">
        <v>145</v>
      </c>
      <c r="G73" s="12">
        <v>3</v>
      </c>
      <c r="H73" t="s">
        <v>75</v>
      </c>
      <c r="I73" s="12">
        <f>IF(OR(Tabela_33466[[#This Row],[Placar Mandante]]="",Tabela_33466[[#This Row],[Placar Visitante]]="",Tabela_3[[#This Row],[Placar Mandante]]="",Tabela_3[[#This Row],[Placar Visitante]]=""),0,
IF(AND(Tabela_33466[[#This Row],[Placar Mandante]]=Tabela_3[[#This Row],[Placar Mandante]],Tabela_33466[[#This Row],[Placar Visitante]]=Tabela_3[[#This Row],[Placar Visitante]]),3,
IF(SIGN(Tabela_33466[[#This Row],[Placar Mandante]]-Tabela_33466[[#This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97B9-2BDB-4132-B7C9-744F83B1E38D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88671875" style="11" hidden="1" customWidth="1"/>
    <col min="2" max="2" width="10.33203125" style="11" bestFit="1" customWidth="1"/>
    <col min="3" max="3" width="9.44140625" style="11" bestFit="1" customWidth="1"/>
    <col min="4" max="4" width="18.109375" style="11" bestFit="1" customWidth="1"/>
    <col min="5" max="5" width="18.109375" style="11" customWidth="1"/>
    <col min="6" max="6" width="4.21875" style="12" bestFit="1" customWidth="1"/>
    <col min="7" max="7" width="18.109375" style="11" customWidth="1"/>
    <col min="8" max="8" width="18.109375" style="11" bestFit="1" customWidth="1"/>
    <col min="9" max="9" width="8.88671875" style="11"/>
    <col min="10" max="10" width="12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3</v>
      </c>
      <c r="F2" s="12" t="s">
        <v>145</v>
      </c>
      <c r="G2" s="12">
        <v>1</v>
      </c>
      <c r="H2" t="s">
        <v>7</v>
      </c>
      <c r="I2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  <c r="J2" s="13"/>
      <c r="K2" s="3">
        <f>SUM(Tabela_33477[Pontuação])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2</v>
      </c>
      <c r="F3" s="12" t="s">
        <v>145</v>
      </c>
      <c r="G3" s="12">
        <v>0</v>
      </c>
      <c r="H3" t="s">
        <v>12</v>
      </c>
      <c r="I3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1</v>
      </c>
      <c r="H4" t="s">
        <v>16</v>
      </c>
      <c r="I4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2</v>
      </c>
      <c r="F5" s="12" t="s">
        <v>145</v>
      </c>
      <c r="G5" s="12">
        <v>1</v>
      </c>
      <c r="H5" t="s">
        <v>20</v>
      </c>
      <c r="I5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1</v>
      </c>
      <c r="F6" s="12" t="s">
        <v>145</v>
      </c>
      <c r="G6" s="12">
        <v>2</v>
      </c>
      <c r="H6" t="s">
        <v>24</v>
      </c>
      <c r="I6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3</v>
      </c>
      <c r="F7" s="12" t="s">
        <v>145</v>
      </c>
      <c r="G7" s="12">
        <v>1</v>
      </c>
      <c r="H7" t="s">
        <v>28</v>
      </c>
      <c r="I7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3</v>
      </c>
      <c r="H8" t="s">
        <v>32</v>
      </c>
      <c r="I8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2</v>
      </c>
      <c r="F9" s="12" t="s">
        <v>145</v>
      </c>
      <c r="G9" s="12">
        <v>0</v>
      </c>
      <c r="H9" t="s">
        <v>35</v>
      </c>
      <c r="I9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4</v>
      </c>
      <c r="F10" s="12" t="s">
        <v>145</v>
      </c>
      <c r="G10" s="12">
        <v>0</v>
      </c>
      <c r="H10" t="s">
        <v>40</v>
      </c>
      <c r="I10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1</v>
      </c>
      <c r="H11" t="s">
        <v>44</v>
      </c>
      <c r="I11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0</v>
      </c>
      <c r="F12" s="12" t="s">
        <v>145</v>
      </c>
      <c r="G12" s="12">
        <v>1</v>
      </c>
      <c r="H12" t="s">
        <v>48</v>
      </c>
      <c r="I12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4</v>
      </c>
      <c r="F13" s="12" t="s">
        <v>145</v>
      </c>
      <c r="G13" s="12">
        <v>0</v>
      </c>
      <c r="H13" t="s">
        <v>52</v>
      </c>
      <c r="I13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0</v>
      </c>
      <c r="H14" t="s">
        <v>55</v>
      </c>
      <c r="I14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2</v>
      </c>
      <c r="H15" t="s">
        <v>60</v>
      </c>
      <c r="I15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2</v>
      </c>
      <c r="F16" s="12" t="s">
        <v>145</v>
      </c>
      <c r="G16" s="12">
        <v>3</v>
      </c>
      <c r="H16" t="s">
        <v>63</v>
      </c>
      <c r="I16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0</v>
      </c>
      <c r="F17" s="12" t="s">
        <v>145</v>
      </c>
      <c r="G17" s="12">
        <v>2</v>
      </c>
      <c r="H17" t="s">
        <v>66</v>
      </c>
      <c r="I17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4</v>
      </c>
      <c r="F18" s="12" t="s">
        <v>145</v>
      </c>
      <c r="G18" s="12">
        <v>1</v>
      </c>
      <c r="H18" t="s">
        <v>69</v>
      </c>
      <c r="I18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1</v>
      </c>
      <c r="H19" t="s">
        <v>73</v>
      </c>
      <c r="I19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0</v>
      </c>
      <c r="H20" t="s">
        <v>76</v>
      </c>
      <c r="I20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3</v>
      </c>
      <c r="F21" s="12" t="s">
        <v>145</v>
      </c>
      <c r="G21" s="12">
        <v>1</v>
      </c>
      <c r="H21" t="s">
        <v>79</v>
      </c>
      <c r="I21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0</v>
      </c>
      <c r="H22" t="s">
        <v>83</v>
      </c>
      <c r="I22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1</v>
      </c>
      <c r="H23" t="s">
        <v>86</v>
      </c>
      <c r="I23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1</v>
      </c>
      <c r="F24" s="12" t="s">
        <v>145</v>
      </c>
      <c r="G24" s="12">
        <v>1</v>
      </c>
      <c r="H24" t="s">
        <v>89</v>
      </c>
      <c r="I24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2</v>
      </c>
      <c r="F25" s="12" t="s">
        <v>145</v>
      </c>
      <c r="G25" s="12">
        <v>4</v>
      </c>
      <c r="H25" t="s">
        <v>92</v>
      </c>
      <c r="I25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1</v>
      </c>
      <c r="F26" s="12" t="s">
        <v>145</v>
      </c>
      <c r="G26" s="12">
        <v>0</v>
      </c>
      <c r="H26" t="s">
        <v>7</v>
      </c>
      <c r="I26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3</v>
      </c>
      <c r="F27" s="12" t="s">
        <v>145</v>
      </c>
      <c r="G27" s="12">
        <v>0</v>
      </c>
      <c r="H27" t="s">
        <v>16</v>
      </c>
      <c r="I27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1</v>
      </c>
      <c r="H28" t="s">
        <v>23</v>
      </c>
      <c r="I28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3</v>
      </c>
      <c r="F29" s="12" t="s">
        <v>145</v>
      </c>
      <c r="G29" s="12">
        <v>0</v>
      </c>
      <c r="H29" t="s">
        <v>11</v>
      </c>
      <c r="I29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2</v>
      </c>
      <c r="H30" t="s">
        <v>34</v>
      </c>
      <c r="I30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0</v>
      </c>
      <c r="F31" s="12" t="s">
        <v>145</v>
      </c>
      <c r="G31" s="12">
        <v>3</v>
      </c>
      <c r="H31" t="s">
        <v>28</v>
      </c>
      <c r="I31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1</v>
      </c>
      <c r="H32" t="s">
        <v>31</v>
      </c>
      <c r="I32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2</v>
      </c>
      <c r="F33" s="12" t="s">
        <v>145</v>
      </c>
      <c r="G33" s="12">
        <v>3</v>
      </c>
      <c r="H33" t="s">
        <v>20</v>
      </c>
      <c r="I33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1</v>
      </c>
      <c r="F34" s="12" t="s">
        <v>145</v>
      </c>
      <c r="G34" s="12">
        <v>2</v>
      </c>
      <c r="H34" t="s">
        <v>51</v>
      </c>
      <c r="I34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4</v>
      </c>
      <c r="F35" s="12" t="s">
        <v>145</v>
      </c>
      <c r="G35" s="12">
        <v>0</v>
      </c>
      <c r="H35" t="s">
        <v>47</v>
      </c>
      <c r="I35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3</v>
      </c>
      <c r="H37" t="s">
        <v>44</v>
      </c>
      <c r="I37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0</v>
      </c>
      <c r="H38" t="s">
        <v>62</v>
      </c>
      <c r="I38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1</v>
      </c>
      <c r="F39" s="12" t="s">
        <v>145</v>
      </c>
      <c r="G39" s="12">
        <v>0</v>
      </c>
      <c r="H39" t="s">
        <v>65</v>
      </c>
      <c r="I39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0</v>
      </c>
      <c r="H40" t="s">
        <v>55</v>
      </c>
      <c r="I40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1</v>
      </c>
      <c r="F41" s="12" t="s">
        <v>145</v>
      </c>
      <c r="G41" s="12">
        <v>1</v>
      </c>
      <c r="H41" t="s">
        <v>60</v>
      </c>
      <c r="I41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4</v>
      </c>
      <c r="F42" s="12" t="s">
        <v>145</v>
      </c>
      <c r="G42" s="12">
        <v>0</v>
      </c>
      <c r="H42" t="s">
        <v>78</v>
      </c>
      <c r="I42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0</v>
      </c>
      <c r="F44" s="12" t="s">
        <v>145</v>
      </c>
      <c r="G44" s="12">
        <v>0</v>
      </c>
      <c r="H44" t="s">
        <v>69</v>
      </c>
      <c r="I44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1</v>
      </c>
      <c r="H45" t="s">
        <v>76</v>
      </c>
      <c r="I45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2</v>
      </c>
      <c r="F46" s="12" t="s">
        <v>145</v>
      </c>
      <c r="G46" s="12">
        <v>0</v>
      </c>
      <c r="H46" t="s">
        <v>91</v>
      </c>
      <c r="I46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3</v>
      </c>
      <c r="F47" s="12" t="s">
        <v>145</v>
      </c>
      <c r="G47" s="12">
        <v>0</v>
      </c>
      <c r="H47" t="s">
        <v>88</v>
      </c>
      <c r="I47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1</v>
      </c>
      <c r="F48" s="12" t="s">
        <v>145</v>
      </c>
      <c r="G48" s="12">
        <v>1</v>
      </c>
      <c r="H48" t="s">
        <v>86</v>
      </c>
      <c r="I48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3</v>
      </c>
      <c r="F49" s="12" t="s">
        <v>145</v>
      </c>
      <c r="G49" s="12">
        <v>0</v>
      </c>
      <c r="H49" t="s">
        <v>83</v>
      </c>
      <c r="I49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2</v>
      </c>
      <c r="F50" s="12" t="s">
        <v>145</v>
      </c>
      <c r="G50" s="12">
        <v>1</v>
      </c>
      <c r="H50" t="s">
        <v>23</v>
      </c>
      <c r="I50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2</v>
      </c>
      <c r="F51" s="12" t="s">
        <v>145</v>
      </c>
      <c r="G51" s="12">
        <v>1</v>
      </c>
      <c r="H51" t="s">
        <v>15</v>
      </c>
      <c r="I51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1</v>
      </c>
      <c r="F52" s="12" t="s">
        <v>145</v>
      </c>
      <c r="G52" s="12">
        <v>3</v>
      </c>
      <c r="H52" t="s">
        <v>27</v>
      </c>
      <c r="I52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2</v>
      </c>
      <c r="F53" s="12" t="s">
        <v>145</v>
      </c>
      <c r="G53" s="12">
        <v>3</v>
      </c>
      <c r="H53" t="s">
        <v>31</v>
      </c>
      <c r="I53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2</v>
      </c>
      <c r="F54" s="12" t="s">
        <v>145</v>
      </c>
      <c r="G54" s="12">
        <v>1</v>
      </c>
      <c r="H54" t="s">
        <v>11</v>
      </c>
      <c r="I54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2</v>
      </c>
      <c r="F55" s="12" t="s">
        <v>145</v>
      </c>
      <c r="G55" s="12">
        <v>3</v>
      </c>
      <c r="H55" t="s">
        <v>6</v>
      </c>
      <c r="I55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2</v>
      </c>
      <c r="H56" t="s">
        <v>47</v>
      </c>
      <c r="I56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2</v>
      </c>
      <c r="F57" s="12" t="s">
        <v>145</v>
      </c>
      <c r="G57" s="12">
        <v>4</v>
      </c>
      <c r="H57" t="s">
        <v>39</v>
      </c>
      <c r="I57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2</v>
      </c>
      <c r="H58" t="s">
        <v>51</v>
      </c>
      <c r="I58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1</v>
      </c>
      <c r="H59" t="s">
        <v>43</v>
      </c>
      <c r="I59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3</v>
      </c>
      <c r="F60" s="12" t="s">
        <v>145</v>
      </c>
      <c r="G60" s="12">
        <v>2</v>
      </c>
      <c r="H60" t="s">
        <v>34</v>
      </c>
      <c r="I60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2</v>
      </c>
      <c r="H61" t="s">
        <v>19</v>
      </c>
      <c r="I61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0</v>
      </c>
      <c r="F62" s="12" t="s">
        <v>145</v>
      </c>
      <c r="G62" s="12">
        <v>4</v>
      </c>
      <c r="H62" t="s">
        <v>68</v>
      </c>
      <c r="I62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3</v>
      </c>
      <c r="F63" s="12" t="s">
        <v>145</v>
      </c>
      <c r="G63" s="12">
        <v>0</v>
      </c>
      <c r="H63" t="s">
        <v>72</v>
      </c>
      <c r="I63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0</v>
      </c>
      <c r="F64" s="12" t="s">
        <v>145</v>
      </c>
      <c r="G64" s="12">
        <v>2</v>
      </c>
      <c r="H64" t="s">
        <v>62</v>
      </c>
      <c r="I64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2</v>
      </c>
      <c r="F65" s="12" t="s">
        <v>145</v>
      </c>
      <c r="G65" s="12">
        <v>2</v>
      </c>
      <c r="H65" t="s">
        <v>54</v>
      </c>
      <c r="I65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0</v>
      </c>
      <c r="H66" t="s">
        <v>65</v>
      </c>
      <c r="I66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2</v>
      </c>
      <c r="F67" s="12" t="s">
        <v>145</v>
      </c>
      <c r="G67" s="12">
        <v>2</v>
      </c>
      <c r="H67" t="s">
        <v>59</v>
      </c>
      <c r="I67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0</v>
      </c>
      <c r="H68" t="s">
        <v>88</v>
      </c>
      <c r="I68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2</v>
      </c>
      <c r="F69" s="12" t="s">
        <v>145</v>
      </c>
      <c r="G69" s="12">
        <v>3</v>
      </c>
      <c r="H69" t="s">
        <v>85</v>
      </c>
      <c r="I69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2</v>
      </c>
      <c r="F70" s="12" t="s">
        <v>145</v>
      </c>
      <c r="G70" s="12">
        <v>2</v>
      </c>
      <c r="H70" t="s">
        <v>82</v>
      </c>
      <c r="I70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0</v>
      </c>
      <c r="F71" s="12" t="s">
        <v>145</v>
      </c>
      <c r="G71" s="12">
        <v>1</v>
      </c>
      <c r="H71" t="s">
        <v>91</v>
      </c>
      <c r="I71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IF(OR(Tabela_33477[[#This Row],[Placar Mandante]]="",Tabela_33477[[#This Row],[Placar Visitante]]="",Tabela_3[[#This Row],[Placar Mandante]]="",Tabela_3[[#This Row],[Placar Visitante]]=""),0,
IF(AND(Tabela_33477[[#This Row],[Placar Mandante]]=Tabela_3[[#This Row],[Placar Mandante]],Tabela_33477[[#This Row],[Placar Visitante]]=Tabela_3[[#This Row],[Placar Visitante]]),3,
IF(SIGN(Tabela_33477[[#This Row],[Placar Mandante]]-Tabela_33477[[#This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CC8B7-74E2-4BD4-88DD-B7695D8E825B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6640625" style="11" hidden="1" customWidth="1"/>
    <col min="2" max="2" width="10.33203125" style="11" bestFit="1" customWidth="1"/>
    <col min="3" max="3" width="9.44140625" style="11" bestFit="1" customWidth="1"/>
    <col min="4" max="4" width="18.33203125" style="11" bestFit="1" customWidth="1"/>
    <col min="5" max="5" width="18.33203125" style="11" customWidth="1"/>
    <col min="6" max="6" width="4.109375" style="12" bestFit="1" customWidth="1"/>
    <col min="7" max="7" width="18.33203125" style="11" customWidth="1"/>
    <col min="8" max="8" width="18.33203125" style="11" bestFit="1" customWidth="1"/>
    <col min="9" max="9" width="8.88671875" style="11"/>
    <col min="10" max="10" width="10.5546875" style="11" customWidth="1"/>
    <col min="11" max="11" width="10.3320312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0</v>
      </c>
      <c r="H2" t="s">
        <v>7</v>
      </c>
      <c r="I2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  <c r="J2" s="13"/>
      <c r="K2" s="3">
        <f>SUM(Tabela_33432[Pontuação])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1</v>
      </c>
      <c r="H3" t="s">
        <v>12</v>
      </c>
      <c r="I3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1</v>
      </c>
      <c r="H4" t="s">
        <v>16</v>
      </c>
      <c r="I4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2</v>
      </c>
      <c r="F5" s="12" t="s">
        <v>145</v>
      </c>
      <c r="G5" s="12">
        <v>1</v>
      </c>
      <c r="H5" t="s">
        <v>20</v>
      </c>
      <c r="I5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1</v>
      </c>
      <c r="F6" s="12" t="s">
        <v>145</v>
      </c>
      <c r="G6" s="12">
        <v>2</v>
      </c>
      <c r="H6" t="s">
        <v>24</v>
      </c>
      <c r="I6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1</v>
      </c>
      <c r="F7" s="12" t="s">
        <v>145</v>
      </c>
      <c r="G7" s="12">
        <v>1</v>
      </c>
      <c r="H7" t="s">
        <v>28</v>
      </c>
      <c r="I7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2</v>
      </c>
      <c r="H8" t="s">
        <v>32</v>
      </c>
      <c r="I8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1</v>
      </c>
      <c r="H9" t="s">
        <v>35</v>
      </c>
      <c r="I9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4</v>
      </c>
      <c r="F10" s="12" t="s">
        <v>145</v>
      </c>
      <c r="G10" s="12">
        <v>0</v>
      </c>
      <c r="H10" t="s">
        <v>40</v>
      </c>
      <c r="I10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1</v>
      </c>
      <c r="F11" s="12" t="s">
        <v>145</v>
      </c>
      <c r="G11" s="12">
        <v>1</v>
      </c>
      <c r="H11" t="s">
        <v>44</v>
      </c>
      <c r="I11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1</v>
      </c>
      <c r="H12" t="s">
        <v>48</v>
      </c>
      <c r="I12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0</v>
      </c>
      <c r="H13" t="s">
        <v>52</v>
      </c>
      <c r="I13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4</v>
      </c>
      <c r="F14" s="12" t="s">
        <v>145</v>
      </c>
      <c r="G14" s="12">
        <v>0</v>
      </c>
      <c r="H14" t="s">
        <v>55</v>
      </c>
      <c r="I14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0</v>
      </c>
      <c r="H15" t="s">
        <v>60</v>
      </c>
      <c r="I15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0</v>
      </c>
      <c r="H17" t="s">
        <v>66</v>
      </c>
      <c r="I17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1</v>
      </c>
      <c r="F18" s="12" t="s">
        <v>145</v>
      </c>
      <c r="G18" s="12">
        <v>1</v>
      </c>
      <c r="H18" t="s">
        <v>69</v>
      </c>
      <c r="I18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1</v>
      </c>
      <c r="F19" s="12" t="s">
        <v>145</v>
      </c>
      <c r="G19" s="12">
        <v>2</v>
      </c>
      <c r="H19" t="s">
        <v>73</v>
      </c>
      <c r="I19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0</v>
      </c>
      <c r="H20" t="s">
        <v>76</v>
      </c>
      <c r="I20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0</v>
      </c>
      <c r="H21" t="s">
        <v>79</v>
      </c>
      <c r="I21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0</v>
      </c>
      <c r="H22" t="s">
        <v>83</v>
      </c>
      <c r="I22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1</v>
      </c>
      <c r="F23" s="12" t="s">
        <v>145</v>
      </c>
      <c r="G23" s="12">
        <v>0</v>
      </c>
      <c r="H23" t="s">
        <v>86</v>
      </c>
      <c r="I23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1</v>
      </c>
      <c r="H24" t="s">
        <v>89</v>
      </c>
      <c r="I24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0</v>
      </c>
      <c r="H26" t="s">
        <v>7</v>
      </c>
      <c r="I26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0</v>
      </c>
      <c r="H27" t="s">
        <v>16</v>
      </c>
      <c r="I27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1</v>
      </c>
      <c r="H28" t="s">
        <v>23</v>
      </c>
      <c r="I28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0</v>
      </c>
      <c r="H30" t="s">
        <v>34</v>
      </c>
      <c r="I30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1</v>
      </c>
      <c r="H31" t="s">
        <v>28</v>
      </c>
      <c r="I31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0</v>
      </c>
      <c r="H32" t="s">
        <v>31</v>
      </c>
      <c r="I32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2</v>
      </c>
      <c r="F33" s="12" t="s">
        <v>145</v>
      </c>
      <c r="G33" s="12">
        <v>1</v>
      </c>
      <c r="H33" t="s">
        <v>20</v>
      </c>
      <c r="I33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0</v>
      </c>
      <c r="H34" t="s">
        <v>51</v>
      </c>
      <c r="I34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1</v>
      </c>
      <c r="H35" t="s">
        <v>47</v>
      </c>
      <c r="I35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0</v>
      </c>
      <c r="H36" t="s">
        <v>40</v>
      </c>
      <c r="I36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2</v>
      </c>
      <c r="H37" t="s">
        <v>44</v>
      </c>
      <c r="I37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0</v>
      </c>
      <c r="H38" t="s">
        <v>62</v>
      </c>
      <c r="I38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1</v>
      </c>
      <c r="H39" t="s">
        <v>65</v>
      </c>
      <c r="I39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0</v>
      </c>
      <c r="H40" t="s">
        <v>55</v>
      </c>
      <c r="I40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1</v>
      </c>
      <c r="H41" t="s">
        <v>60</v>
      </c>
      <c r="I41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1</v>
      </c>
      <c r="H42" t="s">
        <v>78</v>
      </c>
      <c r="I42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1</v>
      </c>
      <c r="H44" t="s">
        <v>69</v>
      </c>
      <c r="I44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2</v>
      </c>
      <c r="H45" t="s">
        <v>76</v>
      </c>
      <c r="I45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2</v>
      </c>
      <c r="F46" s="12" t="s">
        <v>145</v>
      </c>
      <c r="G46" s="12">
        <v>0</v>
      </c>
      <c r="H46" t="s">
        <v>91</v>
      </c>
      <c r="I46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1</v>
      </c>
      <c r="H47" t="s">
        <v>88</v>
      </c>
      <c r="I47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3</v>
      </c>
      <c r="F49" s="12" t="s">
        <v>145</v>
      </c>
      <c r="G49" s="12">
        <v>0</v>
      </c>
      <c r="H49" t="s">
        <v>83</v>
      </c>
      <c r="I49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1</v>
      </c>
      <c r="H50" t="s">
        <v>23</v>
      </c>
      <c r="I50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2</v>
      </c>
      <c r="F51" s="12" t="s">
        <v>145</v>
      </c>
      <c r="G51" s="12">
        <v>1</v>
      </c>
      <c r="H51" t="s">
        <v>15</v>
      </c>
      <c r="I51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2</v>
      </c>
      <c r="H52" t="s">
        <v>27</v>
      </c>
      <c r="I52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0</v>
      </c>
      <c r="H53" t="s">
        <v>31</v>
      </c>
      <c r="I53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2</v>
      </c>
      <c r="H54" t="s">
        <v>11</v>
      </c>
      <c r="I54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2</v>
      </c>
      <c r="H55" t="s">
        <v>6</v>
      </c>
      <c r="I55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3</v>
      </c>
      <c r="H56" t="s">
        <v>47</v>
      </c>
      <c r="I56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2</v>
      </c>
      <c r="H57" t="s">
        <v>39</v>
      </c>
      <c r="I57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1</v>
      </c>
      <c r="H58" t="s">
        <v>51</v>
      </c>
      <c r="I58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3</v>
      </c>
      <c r="H59" t="s">
        <v>43</v>
      </c>
      <c r="I59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2</v>
      </c>
      <c r="F60" s="12" t="s">
        <v>145</v>
      </c>
      <c r="G60" s="12">
        <v>1</v>
      </c>
      <c r="H60" t="s">
        <v>34</v>
      </c>
      <c r="I60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2</v>
      </c>
      <c r="H61" t="s">
        <v>19</v>
      </c>
      <c r="I61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2</v>
      </c>
      <c r="H62" t="s">
        <v>68</v>
      </c>
      <c r="I62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0</v>
      </c>
      <c r="H63" t="s">
        <v>72</v>
      </c>
      <c r="I63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2</v>
      </c>
      <c r="H64" t="s">
        <v>62</v>
      </c>
      <c r="I64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2</v>
      </c>
      <c r="H65" t="s">
        <v>54</v>
      </c>
      <c r="I65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1</v>
      </c>
      <c r="H66" t="s">
        <v>65</v>
      </c>
      <c r="I66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3</v>
      </c>
      <c r="H67" t="s">
        <v>59</v>
      </c>
      <c r="I67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1</v>
      </c>
      <c r="H68" t="s">
        <v>88</v>
      </c>
      <c r="I68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1</v>
      </c>
      <c r="H70" t="s">
        <v>82</v>
      </c>
      <c r="I70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2</v>
      </c>
      <c r="H71" t="s">
        <v>91</v>
      </c>
      <c r="I71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4</v>
      </c>
      <c r="H73" t="s">
        <v>75</v>
      </c>
      <c r="I73" s="12">
        <f>IF(OR(Tabela_33432[[#This Row],[Placar Mandante]]="",Tabela_33432[[#This Row],[Placar Visitante]]="",Tabela_3[[#This Row],[Placar Mandante]]="",Tabela_3[[#This Row],[Placar Visitante]]=""),0,
IF(AND(Tabela_33432[[#This Row],[Placar Mandante]]=Tabela_3[[#This Row],[Placar Mandante]],Tabela_33432[[#This Row],[Placar Visitante]]=Tabela_3[[#This Row],[Placar Visitante]]),3,
IF(SIGN(Tabela_33432[[#This Row],[Placar Mandante]]-Tabela_33432[[#This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CA85-7F2D-4156-AA3F-44DA052C959A}">
  <sheetPr codeName="Planilha20"/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1</v>
      </c>
      <c r="F2" s="2" t="s">
        <v>145</v>
      </c>
      <c r="G2" s="12">
        <v>0</v>
      </c>
      <c r="H2" t="s">
        <v>7</v>
      </c>
      <c r="I2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  <c r="K2" s="3">
        <f>SUM(Tabela_3348[Pontuação])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0</v>
      </c>
      <c r="F3" s="2" t="s">
        <v>145</v>
      </c>
      <c r="G3" s="12">
        <v>1</v>
      </c>
      <c r="H3" t="s">
        <v>12</v>
      </c>
      <c r="I3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1</v>
      </c>
      <c r="F4" s="2" t="s">
        <v>145</v>
      </c>
      <c r="G4" s="12">
        <v>0</v>
      </c>
      <c r="H4" t="s">
        <v>16</v>
      </c>
      <c r="I4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2</v>
      </c>
      <c r="F5" s="2" t="s">
        <v>145</v>
      </c>
      <c r="G5" s="12">
        <v>0</v>
      </c>
      <c r="H5" t="s">
        <v>20</v>
      </c>
      <c r="I5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3</v>
      </c>
      <c r="H6" t="s">
        <v>24</v>
      </c>
      <c r="I6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2</v>
      </c>
      <c r="F7" s="2" t="s">
        <v>145</v>
      </c>
      <c r="G7" s="12">
        <v>1</v>
      </c>
      <c r="H7" t="s">
        <v>28</v>
      </c>
      <c r="I7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0</v>
      </c>
      <c r="F8" s="2" t="s">
        <v>145</v>
      </c>
      <c r="G8" s="12">
        <v>2</v>
      </c>
      <c r="H8" t="s">
        <v>32</v>
      </c>
      <c r="I8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1</v>
      </c>
      <c r="F9" s="2" t="s">
        <v>145</v>
      </c>
      <c r="G9" s="12">
        <v>2</v>
      </c>
      <c r="H9" t="s">
        <v>35</v>
      </c>
      <c r="I9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3</v>
      </c>
      <c r="F10" s="2" t="s">
        <v>145</v>
      </c>
      <c r="G10" s="12">
        <v>0</v>
      </c>
      <c r="H10" t="s">
        <v>40</v>
      </c>
      <c r="I10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2</v>
      </c>
      <c r="F11" s="2" t="s">
        <v>145</v>
      </c>
      <c r="G11" s="12">
        <v>1</v>
      </c>
      <c r="H11" t="s">
        <v>44</v>
      </c>
      <c r="I11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2</v>
      </c>
      <c r="F12" s="2" t="s">
        <v>145</v>
      </c>
      <c r="G12" s="12">
        <v>1</v>
      </c>
      <c r="H12" t="s">
        <v>48</v>
      </c>
      <c r="I12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3</v>
      </c>
      <c r="F13" s="2" t="s">
        <v>145</v>
      </c>
      <c r="G13" s="12">
        <v>0</v>
      </c>
      <c r="H13" t="s">
        <v>52</v>
      </c>
      <c r="I13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3</v>
      </c>
      <c r="F14" s="2" t="s">
        <v>145</v>
      </c>
      <c r="G14" s="12">
        <v>0</v>
      </c>
      <c r="H14" t="s">
        <v>55</v>
      </c>
      <c r="I14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1</v>
      </c>
      <c r="F15" s="2" t="s">
        <v>145</v>
      </c>
      <c r="G15" s="12">
        <v>0</v>
      </c>
      <c r="H15" t="s">
        <v>60</v>
      </c>
      <c r="I15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0</v>
      </c>
      <c r="F16" s="2" t="s">
        <v>145</v>
      </c>
      <c r="G16" s="12">
        <v>1</v>
      </c>
      <c r="H16" t="s">
        <v>63</v>
      </c>
      <c r="I16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1</v>
      </c>
      <c r="F17" s="2" t="s">
        <v>145</v>
      </c>
      <c r="G17" s="12">
        <v>1</v>
      </c>
      <c r="H17" t="s">
        <v>66</v>
      </c>
      <c r="I17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3</v>
      </c>
      <c r="F18" s="2" t="s">
        <v>145</v>
      </c>
      <c r="G18" s="12">
        <v>0</v>
      </c>
      <c r="H18" t="s">
        <v>69</v>
      </c>
      <c r="I18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1</v>
      </c>
      <c r="F19" s="2" t="s">
        <v>145</v>
      </c>
      <c r="G19" s="12">
        <v>1</v>
      </c>
      <c r="H19" t="s">
        <v>73</v>
      </c>
      <c r="I19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2</v>
      </c>
      <c r="F20" s="2" t="s">
        <v>145</v>
      </c>
      <c r="G20" s="12">
        <v>0</v>
      </c>
      <c r="H20" t="s">
        <v>76</v>
      </c>
      <c r="I20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2</v>
      </c>
      <c r="F21" s="2" t="s">
        <v>145</v>
      </c>
      <c r="G21" s="12">
        <v>0</v>
      </c>
      <c r="H21" t="s">
        <v>79</v>
      </c>
      <c r="I21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2</v>
      </c>
      <c r="F22" s="2" t="s">
        <v>145</v>
      </c>
      <c r="G22" s="12">
        <v>0</v>
      </c>
      <c r="H22" t="s">
        <v>83</v>
      </c>
      <c r="I22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1</v>
      </c>
      <c r="F23" s="2" t="s">
        <v>145</v>
      </c>
      <c r="G23" s="12">
        <v>1</v>
      </c>
      <c r="H23" t="s">
        <v>86</v>
      </c>
      <c r="I23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2</v>
      </c>
      <c r="F24" s="2" t="s">
        <v>145</v>
      </c>
      <c r="G24" s="12">
        <v>1</v>
      </c>
      <c r="H24" t="s">
        <v>89</v>
      </c>
      <c r="I24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2</v>
      </c>
      <c r="H25" t="s">
        <v>92</v>
      </c>
      <c r="I25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1</v>
      </c>
      <c r="F26" s="2" t="s">
        <v>145</v>
      </c>
      <c r="G26" s="12">
        <v>0</v>
      </c>
      <c r="H26" t="s">
        <v>7</v>
      </c>
      <c r="I26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2</v>
      </c>
      <c r="F27" s="2" t="s">
        <v>145</v>
      </c>
      <c r="G27" s="12">
        <v>1</v>
      </c>
      <c r="H27" t="s">
        <v>16</v>
      </c>
      <c r="I27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2</v>
      </c>
      <c r="F28" s="2" t="s">
        <v>145</v>
      </c>
      <c r="G28" s="12">
        <v>0</v>
      </c>
      <c r="H28" t="s">
        <v>23</v>
      </c>
      <c r="I28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2</v>
      </c>
      <c r="F29" s="2" t="s">
        <v>145</v>
      </c>
      <c r="G29" s="12">
        <v>0</v>
      </c>
      <c r="H29" t="s">
        <v>11</v>
      </c>
      <c r="I29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2</v>
      </c>
      <c r="F30" s="2" t="s">
        <v>145</v>
      </c>
      <c r="G30" s="12">
        <v>0</v>
      </c>
      <c r="H30" t="s">
        <v>34</v>
      </c>
      <c r="I30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1</v>
      </c>
      <c r="F31" s="2" t="s">
        <v>145</v>
      </c>
      <c r="G31" s="12">
        <v>2</v>
      </c>
      <c r="H31" t="s">
        <v>28</v>
      </c>
      <c r="I31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3</v>
      </c>
      <c r="F32" s="2" t="s">
        <v>145</v>
      </c>
      <c r="G32" s="12">
        <v>0</v>
      </c>
      <c r="H32" t="s">
        <v>31</v>
      </c>
      <c r="I32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2</v>
      </c>
      <c r="F33" s="2" t="s">
        <v>145</v>
      </c>
      <c r="G33" s="12">
        <v>0</v>
      </c>
      <c r="H33" t="s">
        <v>20</v>
      </c>
      <c r="I33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2</v>
      </c>
      <c r="F34" s="2" t="s">
        <v>145</v>
      </c>
      <c r="G34" s="12">
        <v>1</v>
      </c>
      <c r="H34" t="s">
        <v>51</v>
      </c>
      <c r="I34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2</v>
      </c>
      <c r="F35" s="2" t="s">
        <v>145</v>
      </c>
      <c r="G35" s="12">
        <v>1</v>
      </c>
      <c r="H35" t="s">
        <v>47</v>
      </c>
      <c r="I35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2</v>
      </c>
      <c r="F36" s="2" t="s">
        <v>145</v>
      </c>
      <c r="G36" s="12">
        <v>1</v>
      </c>
      <c r="H36" t="s">
        <v>40</v>
      </c>
      <c r="I36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1</v>
      </c>
      <c r="F37" s="2" t="s">
        <v>145</v>
      </c>
      <c r="G37" s="12">
        <v>3</v>
      </c>
      <c r="H37" t="s">
        <v>44</v>
      </c>
      <c r="I37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2</v>
      </c>
      <c r="F38" s="2" t="s">
        <v>145</v>
      </c>
      <c r="G38" s="12">
        <v>0</v>
      </c>
      <c r="H38" t="s">
        <v>62</v>
      </c>
      <c r="I38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2</v>
      </c>
      <c r="F39" s="2" t="s">
        <v>145</v>
      </c>
      <c r="G39" s="12">
        <v>0</v>
      </c>
      <c r="H39" t="s">
        <v>65</v>
      </c>
      <c r="I39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2</v>
      </c>
      <c r="F40" s="2" t="s">
        <v>145</v>
      </c>
      <c r="G40" s="12">
        <v>0</v>
      </c>
      <c r="H40" t="s">
        <v>55</v>
      </c>
      <c r="I40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1</v>
      </c>
      <c r="F41" s="2" t="s">
        <v>145</v>
      </c>
      <c r="G41" s="12">
        <v>1</v>
      </c>
      <c r="H41" t="s">
        <v>60</v>
      </c>
      <c r="I41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2</v>
      </c>
      <c r="F42" s="2" t="s">
        <v>145</v>
      </c>
      <c r="G42" s="12">
        <v>1</v>
      </c>
      <c r="H42" t="s">
        <v>78</v>
      </c>
      <c r="I42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3</v>
      </c>
      <c r="F43" s="2" t="s">
        <v>145</v>
      </c>
      <c r="G43" s="12">
        <v>0</v>
      </c>
      <c r="H43" t="s">
        <v>72</v>
      </c>
      <c r="I43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1</v>
      </c>
      <c r="F44" s="2" t="s">
        <v>145</v>
      </c>
      <c r="G44" s="12">
        <v>2</v>
      </c>
      <c r="H44" t="s">
        <v>69</v>
      </c>
      <c r="I44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0</v>
      </c>
      <c r="F45" s="2" t="s">
        <v>145</v>
      </c>
      <c r="G45" s="12">
        <v>2</v>
      </c>
      <c r="H45" t="s">
        <v>76</v>
      </c>
      <c r="I45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2</v>
      </c>
      <c r="F46" s="2" t="s">
        <v>145</v>
      </c>
      <c r="G46" s="12">
        <v>0</v>
      </c>
      <c r="H46" t="s">
        <v>91</v>
      </c>
      <c r="I46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3</v>
      </c>
      <c r="F47" s="2" t="s">
        <v>145</v>
      </c>
      <c r="G47" s="12">
        <v>1</v>
      </c>
      <c r="H47" t="s">
        <v>88</v>
      </c>
      <c r="I47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0</v>
      </c>
      <c r="F48" s="2" t="s">
        <v>145</v>
      </c>
      <c r="G48" s="12">
        <v>2</v>
      </c>
      <c r="H48" t="s">
        <v>86</v>
      </c>
      <c r="I48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2</v>
      </c>
      <c r="F49" s="2" t="s">
        <v>145</v>
      </c>
      <c r="G49" s="12">
        <v>0</v>
      </c>
      <c r="H49" t="s">
        <v>83</v>
      </c>
      <c r="I49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2</v>
      </c>
      <c r="F50" s="2" t="s">
        <v>145</v>
      </c>
      <c r="G50" s="12">
        <v>0</v>
      </c>
      <c r="H50" t="s">
        <v>23</v>
      </c>
      <c r="I50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1</v>
      </c>
      <c r="F51" s="2" t="s">
        <v>145</v>
      </c>
      <c r="G51" s="12">
        <v>0</v>
      </c>
      <c r="H51" t="s">
        <v>15</v>
      </c>
      <c r="I51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0</v>
      </c>
      <c r="F52" s="2" t="s">
        <v>145</v>
      </c>
      <c r="G52" s="12">
        <v>2</v>
      </c>
      <c r="H52" t="s">
        <v>27</v>
      </c>
      <c r="I52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2</v>
      </c>
      <c r="F53" s="2" t="s">
        <v>145</v>
      </c>
      <c r="G53" s="12">
        <v>0</v>
      </c>
      <c r="H53" t="s">
        <v>31</v>
      </c>
      <c r="I53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2</v>
      </c>
      <c r="F54" s="2" t="s">
        <v>145</v>
      </c>
      <c r="G54" s="12">
        <v>1</v>
      </c>
      <c r="H54" t="s">
        <v>11</v>
      </c>
      <c r="I54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1</v>
      </c>
      <c r="F55" s="2" t="s">
        <v>145</v>
      </c>
      <c r="G55" s="12">
        <v>1</v>
      </c>
      <c r="H55" t="s">
        <v>6</v>
      </c>
      <c r="I55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0</v>
      </c>
      <c r="F56" s="2" t="s">
        <v>145</v>
      </c>
      <c r="G56" s="12">
        <v>2</v>
      </c>
      <c r="H56" t="s">
        <v>47</v>
      </c>
      <c r="I56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1</v>
      </c>
      <c r="F57" s="2" t="s">
        <v>145</v>
      </c>
      <c r="G57" s="12">
        <v>2</v>
      </c>
      <c r="H57" t="s">
        <v>39</v>
      </c>
      <c r="I57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2</v>
      </c>
      <c r="F58" s="2" t="s">
        <v>145</v>
      </c>
      <c r="G58" s="12">
        <v>1</v>
      </c>
      <c r="H58" t="s">
        <v>51</v>
      </c>
      <c r="I58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0</v>
      </c>
      <c r="F59" s="2" t="s">
        <v>145</v>
      </c>
      <c r="G59" s="12">
        <v>3</v>
      </c>
      <c r="H59" t="s">
        <v>43</v>
      </c>
      <c r="I59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1</v>
      </c>
      <c r="F60" s="2" t="s">
        <v>145</v>
      </c>
      <c r="G60" s="12">
        <v>0</v>
      </c>
      <c r="H60" t="s">
        <v>34</v>
      </c>
      <c r="I60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1</v>
      </c>
      <c r="F61" s="2" t="s">
        <v>145</v>
      </c>
      <c r="G61" s="12">
        <v>1</v>
      </c>
      <c r="H61" t="s">
        <v>19</v>
      </c>
      <c r="I61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0</v>
      </c>
      <c r="F62" s="2" t="s">
        <v>145</v>
      </c>
      <c r="G62" s="12">
        <v>2</v>
      </c>
      <c r="H62" t="s">
        <v>68</v>
      </c>
      <c r="I62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2</v>
      </c>
      <c r="F63" s="2" t="s">
        <v>145</v>
      </c>
      <c r="G63" s="12">
        <v>1</v>
      </c>
      <c r="H63" t="s">
        <v>72</v>
      </c>
      <c r="I63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0</v>
      </c>
      <c r="F64" s="2" t="s">
        <v>145</v>
      </c>
      <c r="G64" s="12">
        <v>2</v>
      </c>
      <c r="H64" t="s">
        <v>62</v>
      </c>
      <c r="I64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1</v>
      </c>
      <c r="F65" s="2" t="s">
        <v>145</v>
      </c>
      <c r="G65" s="12">
        <v>2</v>
      </c>
      <c r="H65" t="s">
        <v>54</v>
      </c>
      <c r="I65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1</v>
      </c>
      <c r="F66" s="2" t="s">
        <v>145</v>
      </c>
      <c r="G66" s="12">
        <v>0</v>
      </c>
      <c r="H66" t="s">
        <v>65</v>
      </c>
      <c r="I66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0</v>
      </c>
      <c r="F67" s="2" t="s">
        <v>145</v>
      </c>
      <c r="G67" s="12">
        <v>2</v>
      </c>
      <c r="H67" t="s">
        <v>59</v>
      </c>
      <c r="I67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2</v>
      </c>
      <c r="F68" s="2" t="s">
        <v>145</v>
      </c>
      <c r="G68" s="12">
        <v>1</v>
      </c>
      <c r="H68" t="s">
        <v>88</v>
      </c>
      <c r="I68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0</v>
      </c>
      <c r="F69" s="2" t="s">
        <v>145</v>
      </c>
      <c r="G69" s="12">
        <v>3</v>
      </c>
      <c r="H69" t="s">
        <v>85</v>
      </c>
      <c r="I69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1</v>
      </c>
      <c r="F70" s="2" t="s">
        <v>145</v>
      </c>
      <c r="G70" s="12">
        <v>2</v>
      </c>
      <c r="H70" t="s">
        <v>82</v>
      </c>
      <c r="I70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1</v>
      </c>
      <c r="F71" s="2" t="s">
        <v>145</v>
      </c>
      <c r="G71" s="12">
        <v>0</v>
      </c>
      <c r="H71" t="s">
        <v>91</v>
      </c>
      <c r="I71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1</v>
      </c>
      <c r="F72" s="2" t="s">
        <v>145</v>
      </c>
      <c r="G72" s="12">
        <v>1</v>
      </c>
      <c r="H72" t="s">
        <v>78</v>
      </c>
      <c r="I72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0</v>
      </c>
      <c r="F73" s="2" t="s">
        <v>145</v>
      </c>
      <c r="G73" s="12">
        <v>2</v>
      </c>
      <c r="H73" t="s">
        <v>75</v>
      </c>
      <c r="I73" s="2">
        <f>IF(OR(Tabela_3348[[#This Row],[Placar Mandante]]="",Tabela_3348[[#This Row],[Placar Visitante]]="",Tabela_3[[#This Row],[Placar Mandante]]="",Tabela_3[[#This Row],[Placar Visitante]]=""),0,
IF(AND(Tabela_3348[[#This Row],[Placar Mandante]]=Tabela_3[[#This Row],[Placar Mandante]],Tabela_3348[[#This Row],[Placar Visitante]]=Tabela_3[[#This Row],[Placar Visitante]]),3,
IF(SIGN(Tabela_3348[[#This Row],[Placar Mandante]]-Tabela_3348[[#This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DE11-0965-4C5E-ACD4-49097FB06753}">
  <dimension ref="A1:K73"/>
  <sheetViews>
    <sheetView topLeftCell="B1" zoomScaleNormal="100" workbookViewId="0">
      <selection activeCell="H75" sqref="H75"/>
    </sheetView>
  </sheetViews>
  <sheetFormatPr defaultRowHeight="14.4" x14ac:dyDescent="0.3"/>
  <cols>
    <col min="1" max="1" width="11.77734375" style="29" hidden="1" customWidth="1"/>
    <col min="2" max="2" width="10.33203125" style="29" customWidth="1"/>
    <col min="3" max="3" width="9.44140625" style="29" customWidth="1"/>
    <col min="4" max="5" width="18.21875" style="29" customWidth="1"/>
    <col min="6" max="6" width="4.109375" style="30" customWidth="1"/>
    <col min="7" max="8" width="18.21875" style="29" customWidth="1"/>
    <col min="9" max="9" width="8.88671875" style="29" customWidth="1"/>
    <col min="10" max="10" width="12.21875" style="29" customWidth="1"/>
    <col min="11" max="11" width="10.21875" style="29" customWidth="1"/>
    <col min="12" max="12" width="8.88671875" style="29" customWidth="1"/>
    <col min="13" max="16384" width="8.88671875" style="29"/>
  </cols>
  <sheetData>
    <row r="1" spans="1:11" x14ac:dyDescent="0.3">
      <c r="A1" s="29" t="s">
        <v>0</v>
      </c>
      <c r="B1" s="31" t="s">
        <v>3</v>
      </c>
      <c r="C1" s="31" t="s">
        <v>4</v>
      </c>
      <c r="D1" s="31" t="s">
        <v>1</v>
      </c>
      <c r="E1" s="31" t="s">
        <v>144</v>
      </c>
      <c r="F1" s="32" t="s">
        <v>145</v>
      </c>
      <c r="G1" s="31" t="s">
        <v>146</v>
      </c>
      <c r="H1" s="31" t="s">
        <v>2</v>
      </c>
      <c r="I1" s="11" t="s">
        <v>147</v>
      </c>
      <c r="K1" s="1" t="s">
        <v>147</v>
      </c>
    </row>
    <row r="2" spans="1:11" x14ac:dyDescent="0.3">
      <c r="A2" s="29" t="s">
        <v>5</v>
      </c>
      <c r="B2" s="31" t="s">
        <v>8</v>
      </c>
      <c r="C2" s="31" t="s">
        <v>9</v>
      </c>
      <c r="D2" s="31" t="s">
        <v>6</v>
      </c>
      <c r="E2" s="30">
        <v>2</v>
      </c>
      <c r="F2" s="30" t="s">
        <v>145</v>
      </c>
      <c r="G2" s="30">
        <v>1</v>
      </c>
      <c r="H2" s="31" t="s">
        <v>7</v>
      </c>
      <c r="I2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  <c r="J2" s="33"/>
      <c r="K2" s="3">
        <f>SUM(Tabela_33433[Pontuação])</f>
        <v>0</v>
      </c>
    </row>
    <row r="3" spans="1:11" x14ac:dyDescent="0.3">
      <c r="A3" s="29" t="s">
        <v>10</v>
      </c>
      <c r="B3" s="31" t="s">
        <v>8</v>
      </c>
      <c r="C3" s="31" t="s">
        <v>13</v>
      </c>
      <c r="D3" s="31" t="s">
        <v>11</v>
      </c>
      <c r="E3" s="30">
        <v>1</v>
      </c>
      <c r="F3" s="30" t="s">
        <v>145</v>
      </c>
      <c r="G3" s="30">
        <v>1</v>
      </c>
      <c r="H3" s="31" t="s">
        <v>12</v>
      </c>
      <c r="I3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4" spans="1:11" x14ac:dyDescent="0.3">
      <c r="A4" s="29" t="s">
        <v>14</v>
      </c>
      <c r="B4" s="31" t="s">
        <v>17</v>
      </c>
      <c r="C4" s="31" t="s">
        <v>9</v>
      </c>
      <c r="D4" s="31" t="s">
        <v>15</v>
      </c>
      <c r="E4" s="30">
        <v>2</v>
      </c>
      <c r="F4" s="30" t="s">
        <v>145</v>
      </c>
      <c r="G4" s="30">
        <v>0</v>
      </c>
      <c r="H4" s="31" t="s">
        <v>16</v>
      </c>
      <c r="I4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5" spans="1:11" x14ac:dyDescent="0.3">
      <c r="A5" s="29" t="s">
        <v>18</v>
      </c>
      <c r="B5" s="31" t="s">
        <v>17</v>
      </c>
      <c r="C5" s="31" t="s">
        <v>21</v>
      </c>
      <c r="D5" s="31" t="s">
        <v>19</v>
      </c>
      <c r="E5" s="30">
        <v>1</v>
      </c>
      <c r="F5" s="30" t="s">
        <v>145</v>
      </c>
      <c r="G5" s="30">
        <v>2</v>
      </c>
      <c r="H5" s="31" t="s">
        <v>20</v>
      </c>
      <c r="I5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  <c r="J5" s="34"/>
    </row>
    <row r="6" spans="1:11" x14ac:dyDescent="0.3">
      <c r="A6" s="29" t="s">
        <v>22</v>
      </c>
      <c r="B6" s="31" t="s">
        <v>25</v>
      </c>
      <c r="C6" s="31" t="s">
        <v>9</v>
      </c>
      <c r="D6" s="31" t="s">
        <v>23</v>
      </c>
      <c r="E6" s="30">
        <v>1</v>
      </c>
      <c r="F6" s="30" t="s">
        <v>145</v>
      </c>
      <c r="G6" s="30">
        <v>2</v>
      </c>
      <c r="H6" s="31" t="s">
        <v>24</v>
      </c>
      <c r="I6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  <c r="J6" s="35"/>
    </row>
    <row r="7" spans="1:11" x14ac:dyDescent="0.3">
      <c r="A7" s="29" t="s">
        <v>26</v>
      </c>
      <c r="B7" s="31" t="s">
        <v>25</v>
      </c>
      <c r="C7" s="31" t="s">
        <v>29</v>
      </c>
      <c r="D7" s="31" t="s">
        <v>27</v>
      </c>
      <c r="E7" s="30">
        <v>2</v>
      </c>
      <c r="F7" s="30" t="s">
        <v>145</v>
      </c>
      <c r="G7" s="30">
        <v>1</v>
      </c>
      <c r="H7" s="31" t="s">
        <v>28</v>
      </c>
      <c r="I7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8" spans="1:11" ht="18" x14ac:dyDescent="0.3">
      <c r="A8" s="29" t="s">
        <v>30</v>
      </c>
      <c r="B8" s="31" t="s">
        <v>25</v>
      </c>
      <c r="C8" s="31" t="s">
        <v>21</v>
      </c>
      <c r="D8" s="31" t="s">
        <v>31</v>
      </c>
      <c r="E8" s="30">
        <v>0</v>
      </c>
      <c r="F8" s="30" t="s">
        <v>145</v>
      </c>
      <c r="G8" s="30">
        <v>0</v>
      </c>
      <c r="H8" s="31" t="s">
        <v>32</v>
      </c>
      <c r="I8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  <c r="J8" s="36"/>
      <c r="K8" s="37"/>
    </row>
    <row r="9" spans="1:11" x14ac:dyDescent="0.3">
      <c r="A9" s="29" t="s">
        <v>33</v>
      </c>
      <c r="B9" s="31" t="s">
        <v>36</v>
      </c>
      <c r="C9" s="31" t="s">
        <v>37</v>
      </c>
      <c r="D9" s="31" t="s">
        <v>34</v>
      </c>
      <c r="E9" s="30">
        <v>0</v>
      </c>
      <c r="F9" s="30" t="s">
        <v>145</v>
      </c>
      <c r="G9" s="30">
        <v>2</v>
      </c>
      <c r="H9" s="31" t="s">
        <v>35</v>
      </c>
      <c r="I9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10" spans="1:11" x14ac:dyDescent="0.3">
      <c r="A10" s="29" t="s">
        <v>38</v>
      </c>
      <c r="B10" s="31" t="s">
        <v>36</v>
      </c>
      <c r="C10" s="31" t="s">
        <v>41</v>
      </c>
      <c r="D10" s="31" t="s">
        <v>39</v>
      </c>
      <c r="E10" s="30">
        <v>3</v>
      </c>
      <c r="F10" s="30" t="s">
        <v>145</v>
      </c>
      <c r="G10" s="30">
        <v>0</v>
      </c>
      <c r="H10" s="31" t="s">
        <v>40</v>
      </c>
      <c r="I10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11" spans="1:11" x14ac:dyDescent="0.3">
      <c r="A11" s="29" t="s">
        <v>42</v>
      </c>
      <c r="B11" s="31" t="s">
        <v>36</v>
      </c>
      <c r="C11" s="31" t="s">
        <v>45</v>
      </c>
      <c r="D11" s="31" t="s">
        <v>43</v>
      </c>
      <c r="E11" s="30">
        <v>2</v>
      </c>
      <c r="F11" s="30" t="s">
        <v>145</v>
      </c>
      <c r="G11" s="30">
        <v>1</v>
      </c>
      <c r="H11" s="31" t="s">
        <v>44</v>
      </c>
      <c r="I11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12" spans="1:11" x14ac:dyDescent="0.3">
      <c r="A12" s="29" t="s">
        <v>46</v>
      </c>
      <c r="B12" s="31" t="s">
        <v>36</v>
      </c>
      <c r="C12" s="31" t="s">
        <v>49</v>
      </c>
      <c r="D12" s="31" t="s">
        <v>47</v>
      </c>
      <c r="E12" s="30">
        <v>2</v>
      </c>
      <c r="F12" s="30" t="s">
        <v>145</v>
      </c>
      <c r="G12" s="30">
        <v>2</v>
      </c>
      <c r="H12" s="31" t="s">
        <v>48</v>
      </c>
      <c r="I12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13" spans="1:11" x14ac:dyDescent="0.3">
      <c r="A13" s="29" t="s">
        <v>50</v>
      </c>
      <c r="B13" s="31" t="s">
        <v>36</v>
      </c>
      <c r="C13" s="31" t="s">
        <v>13</v>
      </c>
      <c r="D13" s="31" t="s">
        <v>51</v>
      </c>
      <c r="E13" s="30">
        <v>2</v>
      </c>
      <c r="F13" s="30" t="s">
        <v>145</v>
      </c>
      <c r="G13" s="30">
        <v>1</v>
      </c>
      <c r="H13" s="31" t="s">
        <v>52</v>
      </c>
      <c r="I13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14" spans="1:11" x14ac:dyDescent="0.3">
      <c r="A14" s="29" t="s">
        <v>53</v>
      </c>
      <c r="B14" s="31" t="s">
        <v>56</v>
      </c>
      <c r="C14" s="31" t="s">
        <v>57</v>
      </c>
      <c r="D14" s="31" t="s">
        <v>54</v>
      </c>
      <c r="E14" s="30">
        <v>3</v>
      </c>
      <c r="F14" s="30" t="s">
        <v>145</v>
      </c>
      <c r="G14" s="30">
        <v>0</v>
      </c>
      <c r="H14" s="31" t="s">
        <v>55</v>
      </c>
      <c r="I14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15" spans="1:11" x14ac:dyDescent="0.3">
      <c r="A15" s="29" t="s">
        <v>58</v>
      </c>
      <c r="B15" s="31" t="s">
        <v>56</v>
      </c>
      <c r="C15" s="31" t="s">
        <v>9</v>
      </c>
      <c r="D15" s="31" t="s">
        <v>59</v>
      </c>
      <c r="E15" s="30">
        <v>2</v>
      </c>
      <c r="F15" s="30" t="s">
        <v>145</v>
      </c>
      <c r="G15" s="30">
        <v>0</v>
      </c>
      <c r="H15" s="31" t="s">
        <v>60</v>
      </c>
      <c r="I15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16" spans="1:11" x14ac:dyDescent="0.3">
      <c r="A16" s="29" t="s">
        <v>61</v>
      </c>
      <c r="B16" s="31" t="s">
        <v>56</v>
      </c>
      <c r="C16" s="31" t="s">
        <v>29</v>
      </c>
      <c r="D16" s="31" t="s">
        <v>62</v>
      </c>
      <c r="E16" s="30">
        <v>0</v>
      </c>
      <c r="F16" s="30" t="s">
        <v>145</v>
      </c>
      <c r="G16" s="30">
        <v>2</v>
      </c>
      <c r="H16" s="31" t="s">
        <v>63</v>
      </c>
      <c r="I16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17" spans="1:9" x14ac:dyDescent="0.3">
      <c r="A17" s="29" t="s">
        <v>64</v>
      </c>
      <c r="B17" s="31" t="s">
        <v>56</v>
      </c>
      <c r="C17" s="31" t="s">
        <v>21</v>
      </c>
      <c r="D17" s="31" t="s">
        <v>65</v>
      </c>
      <c r="E17" s="30">
        <v>0</v>
      </c>
      <c r="F17" s="30" t="s">
        <v>145</v>
      </c>
      <c r="G17" s="30">
        <v>0</v>
      </c>
      <c r="H17" s="31" t="s">
        <v>66</v>
      </c>
      <c r="I17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18" spans="1:9" x14ac:dyDescent="0.3">
      <c r="A18" s="29" t="s">
        <v>67</v>
      </c>
      <c r="B18" s="31" t="s">
        <v>70</v>
      </c>
      <c r="C18" s="31" t="s">
        <v>9</v>
      </c>
      <c r="D18" s="31" t="s">
        <v>68</v>
      </c>
      <c r="E18" s="30">
        <v>2</v>
      </c>
      <c r="F18" s="30" t="s">
        <v>145</v>
      </c>
      <c r="G18" s="30">
        <v>1</v>
      </c>
      <c r="H18" s="31" t="s">
        <v>69</v>
      </c>
      <c r="I18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19" spans="1:9" x14ac:dyDescent="0.3">
      <c r="A19" s="29" t="s">
        <v>71</v>
      </c>
      <c r="B19" s="31" t="s">
        <v>70</v>
      </c>
      <c r="C19" s="31" t="s">
        <v>29</v>
      </c>
      <c r="D19" s="31" t="s">
        <v>72</v>
      </c>
      <c r="E19" s="30">
        <v>0</v>
      </c>
      <c r="F19" s="30" t="s">
        <v>145</v>
      </c>
      <c r="G19" s="30">
        <v>1</v>
      </c>
      <c r="H19" s="31" t="s">
        <v>73</v>
      </c>
      <c r="I19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20" spans="1:9" x14ac:dyDescent="0.3">
      <c r="A20" s="29" t="s">
        <v>74</v>
      </c>
      <c r="B20" s="31" t="s">
        <v>70</v>
      </c>
      <c r="C20" s="31" t="s">
        <v>21</v>
      </c>
      <c r="D20" s="31" t="s">
        <v>75</v>
      </c>
      <c r="E20" s="30">
        <v>2</v>
      </c>
      <c r="F20" s="30" t="s">
        <v>145</v>
      </c>
      <c r="G20" s="30">
        <v>1</v>
      </c>
      <c r="H20" s="31" t="s">
        <v>76</v>
      </c>
      <c r="I20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21" spans="1:9" x14ac:dyDescent="0.3">
      <c r="A21" s="29" t="s">
        <v>77</v>
      </c>
      <c r="B21" s="31" t="s">
        <v>80</v>
      </c>
      <c r="C21" s="31" t="s">
        <v>37</v>
      </c>
      <c r="D21" s="31" t="s">
        <v>78</v>
      </c>
      <c r="E21" s="30">
        <v>2</v>
      </c>
      <c r="F21" s="30" t="s">
        <v>145</v>
      </c>
      <c r="G21" s="30">
        <v>1</v>
      </c>
      <c r="H21" s="31" t="s">
        <v>79</v>
      </c>
      <c r="I21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22" spans="1:9" x14ac:dyDescent="0.3">
      <c r="A22" s="29" t="s">
        <v>81</v>
      </c>
      <c r="B22" s="31" t="s">
        <v>80</v>
      </c>
      <c r="C22" s="31" t="s">
        <v>41</v>
      </c>
      <c r="D22" s="31" t="s">
        <v>82</v>
      </c>
      <c r="E22" s="30">
        <v>2</v>
      </c>
      <c r="F22" s="30" t="s">
        <v>145</v>
      </c>
      <c r="G22" s="30">
        <v>1</v>
      </c>
      <c r="H22" s="31" t="s">
        <v>83</v>
      </c>
      <c r="I22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23" spans="1:9" x14ac:dyDescent="0.3">
      <c r="A23" s="29" t="s">
        <v>84</v>
      </c>
      <c r="B23" s="31" t="s">
        <v>80</v>
      </c>
      <c r="C23" s="31" t="s">
        <v>45</v>
      </c>
      <c r="D23" s="31" t="s">
        <v>85</v>
      </c>
      <c r="E23" s="30">
        <v>2</v>
      </c>
      <c r="F23" s="30" t="s">
        <v>145</v>
      </c>
      <c r="G23" s="30">
        <v>0</v>
      </c>
      <c r="H23" s="31" t="s">
        <v>86</v>
      </c>
      <c r="I23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24" spans="1:9" x14ac:dyDescent="0.3">
      <c r="A24" s="29" t="s">
        <v>87</v>
      </c>
      <c r="B24" s="31" t="s">
        <v>80</v>
      </c>
      <c r="C24" s="31" t="s">
        <v>49</v>
      </c>
      <c r="D24" s="31" t="s">
        <v>88</v>
      </c>
      <c r="E24" s="30">
        <v>2</v>
      </c>
      <c r="F24" s="30" t="s">
        <v>145</v>
      </c>
      <c r="G24" s="30">
        <v>1</v>
      </c>
      <c r="H24" s="31" t="s">
        <v>89</v>
      </c>
      <c r="I24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25" spans="1:9" x14ac:dyDescent="0.3">
      <c r="A25" s="29" t="s">
        <v>90</v>
      </c>
      <c r="B25" s="31" t="s">
        <v>80</v>
      </c>
      <c r="C25" s="31" t="s">
        <v>13</v>
      </c>
      <c r="D25" s="31" t="s">
        <v>91</v>
      </c>
      <c r="E25" s="30">
        <v>0</v>
      </c>
      <c r="F25" s="30" t="s">
        <v>145</v>
      </c>
      <c r="G25" s="30">
        <v>2</v>
      </c>
      <c r="H25" s="31" t="s">
        <v>92</v>
      </c>
      <c r="I25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26" spans="1:9" x14ac:dyDescent="0.3">
      <c r="A26" s="29" t="s">
        <v>93</v>
      </c>
      <c r="B26" s="31" t="s">
        <v>94</v>
      </c>
      <c r="C26" s="31" t="s">
        <v>57</v>
      </c>
      <c r="D26" s="31" t="s">
        <v>12</v>
      </c>
      <c r="E26" s="30">
        <v>2</v>
      </c>
      <c r="F26" s="30" t="s">
        <v>145</v>
      </c>
      <c r="G26" s="30">
        <v>0</v>
      </c>
      <c r="H26" s="31" t="s">
        <v>7</v>
      </c>
      <c r="I26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27" spans="1:9" x14ac:dyDescent="0.3">
      <c r="A27" s="29" t="s">
        <v>95</v>
      </c>
      <c r="B27" s="31" t="s">
        <v>94</v>
      </c>
      <c r="C27" s="31" t="s">
        <v>9</v>
      </c>
      <c r="D27" s="31" t="s">
        <v>24</v>
      </c>
      <c r="E27" s="30">
        <v>2</v>
      </c>
      <c r="F27" s="30" t="s">
        <v>145</v>
      </c>
      <c r="G27" s="30">
        <v>0</v>
      </c>
      <c r="H27" s="31" t="s">
        <v>16</v>
      </c>
      <c r="I27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28" spans="1:9" x14ac:dyDescent="0.3">
      <c r="A28" s="29" t="s">
        <v>96</v>
      </c>
      <c r="B28" s="31" t="s">
        <v>94</v>
      </c>
      <c r="C28" s="31" t="s">
        <v>29</v>
      </c>
      <c r="D28" s="31" t="s">
        <v>15</v>
      </c>
      <c r="E28" s="30">
        <v>2</v>
      </c>
      <c r="F28" s="30" t="s">
        <v>145</v>
      </c>
      <c r="G28" s="30">
        <v>0</v>
      </c>
      <c r="H28" s="31" t="s">
        <v>23</v>
      </c>
      <c r="I28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29" spans="1:9" x14ac:dyDescent="0.3">
      <c r="A29" s="29" t="s">
        <v>97</v>
      </c>
      <c r="B29" s="31" t="s">
        <v>94</v>
      </c>
      <c r="C29" s="31" t="s">
        <v>21</v>
      </c>
      <c r="D29" s="31" t="s">
        <v>6</v>
      </c>
      <c r="E29" s="30">
        <v>1</v>
      </c>
      <c r="F29" s="30" t="s">
        <v>145</v>
      </c>
      <c r="G29" s="30">
        <v>0</v>
      </c>
      <c r="H29" s="31" t="s">
        <v>11</v>
      </c>
      <c r="I29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30" spans="1:9" x14ac:dyDescent="0.3">
      <c r="A30" s="29" t="s">
        <v>98</v>
      </c>
      <c r="B30" s="31" t="s">
        <v>99</v>
      </c>
      <c r="C30" s="31" t="s">
        <v>9</v>
      </c>
      <c r="D30" s="31" t="s">
        <v>19</v>
      </c>
      <c r="E30" s="30">
        <v>1</v>
      </c>
      <c r="F30" s="30" t="s">
        <v>145</v>
      </c>
      <c r="G30" s="30">
        <v>0</v>
      </c>
      <c r="H30" s="31" t="s">
        <v>34</v>
      </c>
      <c r="I30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31" spans="1:9" x14ac:dyDescent="0.3">
      <c r="A31" s="29" t="s">
        <v>100</v>
      </c>
      <c r="B31" s="31" t="s">
        <v>99</v>
      </c>
      <c r="C31" s="31" t="s">
        <v>29</v>
      </c>
      <c r="D31" s="31" t="s">
        <v>32</v>
      </c>
      <c r="E31" s="30">
        <v>0</v>
      </c>
      <c r="F31" s="30" t="s">
        <v>145</v>
      </c>
      <c r="G31" s="30">
        <v>2</v>
      </c>
      <c r="H31" s="31" t="s">
        <v>28</v>
      </c>
      <c r="I31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32" spans="1:9" x14ac:dyDescent="0.3">
      <c r="A32" s="29" t="s">
        <v>101</v>
      </c>
      <c r="B32" s="31" t="s">
        <v>99</v>
      </c>
      <c r="C32" s="31" t="s">
        <v>102</v>
      </c>
      <c r="D32" s="31" t="s">
        <v>27</v>
      </c>
      <c r="E32" s="30">
        <v>3</v>
      </c>
      <c r="F32" s="30" t="s">
        <v>145</v>
      </c>
      <c r="G32" s="30">
        <v>0</v>
      </c>
      <c r="H32" s="31" t="s">
        <v>31</v>
      </c>
      <c r="I32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33" spans="1:9" x14ac:dyDescent="0.3">
      <c r="A33" s="29" t="s">
        <v>103</v>
      </c>
      <c r="B33" s="31" t="s">
        <v>104</v>
      </c>
      <c r="C33" s="31" t="s">
        <v>105</v>
      </c>
      <c r="D33" s="31" t="s">
        <v>35</v>
      </c>
      <c r="E33" s="30">
        <v>1</v>
      </c>
      <c r="F33" s="30" t="s">
        <v>145</v>
      </c>
      <c r="G33" s="30">
        <v>2</v>
      </c>
      <c r="H33" s="31" t="s">
        <v>20</v>
      </c>
      <c r="I33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34" spans="1:9" x14ac:dyDescent="0.3">
      <c r="A34" s="29" t="s">
        <v>106</v>
      </c>
      <c r="B34" s="31" t="s">
        <v>104</v>
      </c>
      <c r="C34" s="31" t="s">
        <v>41</v>
      </c>
      <c r="D34" s="31" t="s">
        <v>43</v>
      </c>
      <c r="E34" s="30">
        <v>2</v>
      </c>
      <c r="F34" s="30" t="s">
        <v>145</v>
      </c>
      <c r="G34" s="30">
        <v>1</v>
      </c>
      <c r="H34" s="31" t="s">
        <v>51</v>
      </c>
      <c r="I34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35" spans="1:9" x14ac:dyDescent="0.3">
      <c r="A35" s="29" t="s">
        <v>107</v>
      </c>
      <c r="B35" s="31" t="s">
        <v>104</v>
      </c>
      <c r="C35" s="31" t="s">
        <v>45</v>
      </c>
      <c r="D35" s="31" t="s">
        <v>39</v>
      </c>
      <c r="E35" s="30">
        <v>2</v>
      </c>
      <c r="F35" s="30" t="s">
        <v>145</v>
      </c>
      <c r="G35" s="30">
        <v>1</v>
      </c>
      <c r="H35" s="31" t="s">
        <v>47</v>
      </c>
      <c r="I35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36" spans="1:9" x14ac:dyDescent="0.3">
      <c r="A36" s="29" t="s">
        <v>108</v>
      </c>
      <c r="B36" s="31" t="s">
        <v>104</v>
      </c>
      <c r="C36" s="31" t="s">
        <v>109</v>
      </c>
      <c r="D36" s="31" t="s">
        <v>48</v>
      </c>
      <c r="E36" s="30">
        <v>2</v>
      </c>
      <c r="F36" s="30" t="s">
        <v>145</v>
      </c>
      <c r="G36" s="30">
        <v>0</v>
      </c>
      <c r="H36" s="31" t="s">
        <v>40</v>
      </c>
      <c r="I36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37" spans="1:9" x14ac:dyDescent="0.3">
      <c r="A37" s="29" t="s">
        <v>110</v>
      </c>
      <c r="B37" s="31" t="s">
        <v>111</v>
      </c>
      <c r="C37" s="31" t="s">
        <v>37</v>
      </c>
      <c r="D37" s="31" t="s">
        <v>52</v>
      </c>
      <c r="E37" s="30">
        <v>1</v>
      </c>
      <c r="F37" s="30" t="s">
        <v>145</v>
      </c>
      <c r="G37" s="30">
        <v>1</v>
      </c>
      <c r="H37" s="31" t="s">
        <v>44</v>
      </c>
      <c r="I37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38" spans="1:9" x14ac:dyDescent="0.3">
      <c r="A38" s="29" t="s">
        <v>112</v>
      </c>
      <c r="B38" s="31" t="s">
        <v>111</v>
      </c>
      <c r="C38" s="31" t="s">
        <v>57</v>
      </c>
      <c r="D38" s="31" t="s">
        <v>54</v>
      </c>
      <c r="E38" s="30">
        <v>2</v>
      </c>
      <c r="F38" s="30" t="s">
        <v>145</v>
      </c>
      <c r="G38" s="30">
        <v>0</v>
      </c>
      <c r="H38" s="31" t="s">
        <v>62</v>
      </c>
      <c r="I38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39" spans="1:9" x14ac:dyDescent="0.3">
      <c r="A39" s="29" t="s">
        <v>113</v>
      </c>
      <c r="B39" s="31" t="s">
        <v>111</v>
      </c>
      <c r="C39" s="31" t="s">
        <v>9</v>
      </c>
      <c r="D39" s="31" t="s">
        <v>59</v>
      </c>
      <c r="E39" s="30">
        <v>2</v>
      </c>
      <c r="F39" s="30" t="s">
        <v>145</v>
      </c>
      <c r="G39" s="30">
        <v>0</v>
      </c>
      <c r="H39" s="31" t="s">
        <v>65</v>
      </c>
      <c r="I39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40" spans="1:9" x14ac:dyDescent="0.3">
      <c r="A40" s="29" t="s">
        <v>114</v>
      </c>
      <c r="B40" s="31" t="s">
        <v>111</v>
      </c>
      <c r="C40" s="31" t="s">
        <v>29</v>
      </c>
      <c r="D40" s="31" t="s">
        <v>63</v>
      </c>
      <c r="E40" s="30">
        <v>2</v>
      </c>
      <c r="F40" s="30" t="s">
        <v>145</v>
      </c>
      <c r="G40" s="30">
        <v>0</v>
      </c>
      <c r="H40" s="31" t="s">
        <v>55</v>
      </c>
      <c r="I40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41" spans="1:9" x14ac:dyDescent="0.3">
      <c r="A41" s="29" t="s">
        <v>115</v>
      </c>
      <c r="B41" s="31" t="s">
        <v>111</v>
      </c>
      <c r="C41" s="31" t="s">
        <v>21</v>
      </c>
      <c r="D41" s="31" t="s">
        <v>66</v>
      </c>
      <c r="E41" s="30">
        <v>0</v>
      </c>
      <c r="F41" s="30" t="s">
        <v>145</v>
      </c>
      <c r="G41" s="30">
        <v>1</v>
      </c>
      <c r="H41" s="31" t="s">
        <v>60</v>
      </c>
      <c r="I41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42" spans="1:9" x14ac:dyDescent="0.3">
      <c r="A42" s="29" t="s">
        <v>116</v>
      </c>
      <c r="B42" s="31" t="s">
        <v>117</v>
      </c>
      <c r="C42" s="31" t="s">
        <v>41</v>
      </c>
      <c r="D42" s="31" t="s">
        <v>75</v>
      </c>
      <c r="E42" s="30">
        <v>2</v>
      </c>
      <c r="F42" s="30" t="s">
        <v>145</v>
      </c>
      <c r="G42" s="30">
        <v>0</v>
      </c>
      <c r="H42" s="31" t="s">
        <v>78</v>
      </c>
      <c r="I42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43" spans="1:9" x14ac:dyDescent="0.3">
      <c r="A43" s="29" t="s">
        <v>118</v>
      </c>
      <c r="B43" s="31" t="s">
        <v>117</v>
      </c>
      <c r="C43" s="31" t="s">
        <v>119</v>
      </c>
      <c r="D43" s="31" t="s">
        <v>68</v>
      </c>
      <c r="E43" s="30">
        <v>3</v>
      </c>
      <c r="F43" s="30" t="s">
        <v>145</v>
      </c>
      <c r="G43" s="30">
        <v>0</v>
      </c>
      <c r="H43" s="31" t="s">
        <v>72</v>
      </c>
      <c r="I43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44" spans="1:9" x14ac:dyDescent="0.3">
      <c r="A44" s="29" t="s">
        <v>120</v>
      </c>
      <c r="B44" s="31" t="s">
        <v>117</v>
      </c>
      <c r="C44" s="31" t="s">
        <v>109</v>
      </c>
      <c r="D44" s="31" t="s">
        <v>73</v>
      </c>
      <c r="E44" s="30">
        <v>2</v>
      </c>
      <c r="F44" s="30" t="s">
        <v>145</v>
      </c>
      <c r="G44" s="30">
        <v>2</v>
      </c>
      <c r="H44" s="31" t="s">
        <v>69</v>
      </c>
      <c r="I44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45" spans="1:9" x14ac:dyDescent="0.3">
      <c r="A45" s="29" t="s">
        <v>121</v>
      </c>
      <c r="B45" s="31" t="s">
        <v>122</v>
      </c>
      <c r="C45" s="31" t="s">
        <v>105</v>
      </c>
      <c r="D45" s="31" t="s">
        <v>79</v>
      </c>
      <c r="E45" s="30">
        <v>2</v>
      </c>
      <c r="F45" s="30" t="s">
        <v>145</v>
      </c>
      <c r="G45" s="30">
        <v>2</v>
      </c>
      <c r="H45" s="31" t="s">
        <v>76</v>
      </c>
      <c r="I45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46" spans="1:9" x14ac:dyDescent="0.3">
      <c r="A46" s="29" t="s">
        <v>123</v>
      </c>
      <c r="B46" s="31" t="s">
        <v>122</v>
      </c>
      <c r="C46" s="31" t="s">
        <v>41</v>
      </c>
      <c r="D46" s="31" t="s">
        <v>82</v>
      </c>
      <c r="E46" s="30">
        <v>2</v>
      </c>
      <c r="F46" s="30" t="s">
        <v>145</v>
      </c>
      <c r="G46" s="30">
        <v>1</v>
      </c>
      <c r="H46" s="31" t="s">
        <v>91</v>
      </c>
      <c r="I46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47" spans="1:9" x14ac:dyDescent="0.3">
      <c r="A47" s="29" t="s">
        <v>124</v>
      </c>
      <c r="B47" s="31" t="s">
        <v>122</v>
      </c>
      <c r="C47" s="31" t="s">
        <v>45</v>
      </c>
      <c r="D47" s="31" t="s">
        <v>85</v>
      </c>
      <c r="E47" s="30">
        <v>2</v>
      </c>
      <c r="F47" s="30" t="s">
        <v>145</v>
      </c>
      <c r="G47" s="30">
        <v>1</v>
      </c>
      <c r="H47" s="31" t="s">
        <v>88</v>
      </c>
      <c r="I47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48" spans="1:9" x14ac:dyDescent="0.3">
      <c r="A48" s="29" t="s">
        <v>125</v>
      </c>
      <c r="B48" s="31" t="s">
        <v>122</v>
      </c>
      <c r="C48" s="31" t="s">
        <v>49</v>
      </c>
      <c r="D48" s="31" t="s">
        <v>89</v>
      </c>
      <c r="E48" s="30">
        <v>1</v>
      </c>
      <c r="F48" s="30" t="s">
        <v>145</v>
      </c>
      <c r="G48" s="30">
        <v>1</v>
      </c>
      <c r="H48" s="31" t="s">
        <v>86</v>
      </c>
      <c r="I48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49" spans="1:9" x14ac:dyDescent="0.3">
      <c r="A49" s="29" t="s">
        <v>126</v>
      </c>
      <c r="B49" s="31" t="s">
        <v>122</v>
      </c>
      <c r="C49" s="31" t="s">
        <v>13</v>
      </c>
      <c r="D49" s="31" t="s">
        <v>92</v>
      </c>
      <c r="E49" s="30">
        <v>2</v>
      </c>
      <c r="F49" s="30" t="s">
        <v>145</v>
      </c>
      <c r="G49" s="30">
        <v>1</v>
      </c>
      <c r="H49" s="31" t="s">
        <v>83</v>
      </c>
      <c r="I49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50" spans="1:9" x14ac:dyDescent="0.3">
      <c r="A50" s="29" t="s">
        <v>127</v>
      </c>
      <c r="B50" s="31" t="s">
        <v>128</v>
      </c>
      <c r="C50" s="31" t="s">
        <v>9</v>
      </c>
      <c r="D50" s="31" t="s">
        <v>16</v>
      </c>
      <c r="E50" s="30">
        <v>0</v>
      </c>
      <c r="F50" s="30" t="s">
        <v>145</v>
      </c>
      <c r="G50" s="30">
        <v>0</v>
      </c>
      <c r="H50" s="31" t="s">
        <v>23</v>
      </c>
      <c r="I50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51" spans="1:9" x14ac:dyDescent="0.3">
      <c r="A51" s="29" t="s">
        <v>127</v>
      </c>
      <c r="B51" s="31" t="s">
        <v>128</v>
      </c>
      <c r="C51" s="31" t="s">
        <v>9</v>
      </c>
      <c r="D51" s="31" t="s">
        <v>24</v>
      </c>
      <c r="E51" s="30">
        <v>1</v>
      </c>
      <c r="F51" s="30" t="s">
        <v>145</v>
      </c>
      <c r="G51" s="30">
        <v>1</v>
      </c>
      <c r="H51" s="31" t="s">
        <v>15</v>
      </c>
      <c r="I51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52" spans="1:9" x14ac:dyDescent="0.3">
      <c r="A52" s="29" t="s">
        <v>129</v>
      </c>
      <c r="B52" s="31" t="s">
        <v>128</v>
      </c>
      <c r="C52" s="31" t="s">
        <v>29</v>
      </c>
      <c r="D52" s="31" t="s">
        <v>32</v>
      </c>
      <c r="E52" s="30">
        <v>0</v>
      </c>
      <c r="F52" s="30" t="s">
        <v>145</v>
      </c>
      <c r="G52" s="30">
        <v>2</v>
      </c>
      <c r="H52" s="31" t="s">
        <v>27</v>
      </c>
      <c r="I52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53" spans="1:9" x14ac:dyDescent="0.3">
      <c r="A53" s="29" t="s">
        <v>129</v>
      </c>
      <c r="B53" s="31" t="s">
        <v>128</v>
      </c>
      <c r="C53" s="31" t="s">
        <v>29</v>
      </c>
      <c r="D53" s="31" t="s">
        <v>28</v>
      </c>
      <c r="E53" s="30">
        <v>2</v>
      </c>
      <c r="F53" s="30" t="s">
        <v>145</v>
      </c>
      <c r="G53" s="30">
        <v>1</v>
      </c>
      <c r="H53" s="31" t="s">
        <v>31</v>
      </c>
      <c r="I53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54" spans="1:9" x14ac:dyDescent="0.3">
      <c r="A54" s="29" t="s">
        <v>130</v>
      </c>
      <c r="B54" s="31" t="s">
        <v>128</v>
      </c>
      <c r="C54" s="31" t="s">
        <v>21</v>
      </c>
      <c r="D54" s="31" t="s">
        <v>7</v>
      </c>
      <c r="E54" s="30">
        <v>0</v>
      </c>
      <c r="F54" s="30" t="s">
        <v>145</v>
      </c>
      <c r="G54" s="30">
        <v>1</v>
      </c>
      <c r="H54" s="31" t="s">
        <v>11</v>
      </c>
      <c r="I54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55" spans="1:9" x14ac:dyDescent="0.3">
      <c r="A55" s="29" t="s">
        <v>130</v>
      </c>
      <c r="B55" s="31" t="s">
        <v>128</v>
      </c>
      <c r="C55" s="31" t="s">
        <v>21</v>
      </c>
      <c r="D55" s="31" t="s">
        <v>12</v>
      </c>
      <c r="E55" s="30">
        <v>1</v>
      </c>
      <c r="F55" s="30" t="s">
        <v>145</v>
      </c>
      <c r="G55" s="30">
        <v>1</v>
      </c>
      <c r="H55" s="31" t="s">
        <v>6</v>
      </c>
      <c r="I55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56" spans="1:9" x14ac:dyDescent="0.3">
      <c r="A56" s="29" t="s">
        <v>131</v>
      </c>
      <c r="B56" s="31" t="s">
        <v>132</v>
      </c>
      <c r="C56" s="31" t="s">
        <v>45</v>
      </c>
      <c r="D56" s="31" t="s">
        <v>40</v>
      </c>
      <c r="E56" s="30">
        <v>0</v>
      </c>
      <c r="F56" s="30" t="s">
        <v>145</v>
      </c>
      <c r="G56" s="30">
        <v>2</v>
      </c>
      <c r="H56" s="31" t="s">
        <v>47</v>
      </c>
      <c r="I56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57" spans="1:9" x14ac:dyDescent="0.3">
      <c r="A57" s="29" t="s">
        <v>131</v>
      </c>
      <c r="B57" s="31" t="s">
        <v>132</v>
      </c>
      <c r="C57" s="31" t="s">
        <v>45</v>
      </c>
      <c r="D57" s="31" t="s">
        <v>48</v>
      </c>
      <c r="E57" s="30">
        <v>1</v>
      </c>
      <c r="F57" s="30" t="s">
        <v>145</v>
      </c>
      <c r="G57" s="30">
        <v>2</v>
      </c>
      <c r="H57" s="31" t="s">
        <v>39</v>
      </c>
      <c r="I57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58" spans="1:9" x14ac:dyDescent="0.3">
      <c r="A58" s="29" t="s">
        <v>133</v>
      </c>
      <c r="B58" s="31" t="s">
        <v>132</v>
      </c>
      <c r="C58" s="31" t="s">
        <v>49</v>
      </c>
      <c r="D58" s="31" t="s">
        <v>44</v>
      </c>
      <c r="E58" s="30">
        <v>2</v>
      </c>
      <c r="F58" s="30" t="s">
        <v>145</v>
      </c>
      <c r="G58" s="30">
        <v>1</v>
      </c>
      <c r="H58" s="31" t="s">
        <v>51</v>
      </c>
      <c r="I58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59" spans="1:9" x14ac:dyDescent="0.3">
      <c r="A59" s="29" t="s">
        <v>133</v>
      </c>
      <c r="B59" s="31" t="s">
        <v>132</v>
      </c>
      <c r="C59" s="31" t="s">
        <v>49</v>
      </c>
      <c r="D59" s="31" t="s">
        <v>52</v>
      </c>
      <c r="E59" s="30">
        <v>0</v>
      </c>
      <c r="F59" s="30" t="s">
        <v>145</v>
      </c>
      <c r="G59" s="30">
        <v>2</v>
      </c>
      <c r="H59" s="31" t="s">
        <v>43</v>
      </c>
      <c r="I59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60" spans="1:9" x14ac:dyDescent="0.3">
      <c r="A60" s="29" t="s">
        <v>134</v>
      </c>
      <c r="B60" s="31" t="s">
        <v>132</v>
      </c>
      <c r="C60" s="31" t="s">
        <v>13</v>
      </c>
      <c r="D60" s="31" t="s">
        <v>20</v>
      </c>
      <c r="E60" s="30">
        <v>2</v>
      </c>
      <c r="F60" s="30" t="s">
        <v>145</v>
      </c>
      <c r="G60" s="30">
        <v>0</v>
      </c>
      <c r="H60" s="31" t="s">
        <v>34</v>
      </c>
      <c r="I60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61" spans="1:9" x14ac:dyDescent="0.3">
      <c r="A61" s="29" t="s">
        <v>134</v>
      </c>
      <c r="B61" s="31" t="s">
        <v>132</v>
      </c>
      <c r="C61" s="31" t="s">
        <v>13</v>
      </c>
      <c r="D61" s="31" t="s">
        <v>35</v>
      </c>
      <c r="E61" s="30">
        <v>1</v>
      </c>
      <c r="F61" s="30" t="s">
        <v>145</v>
      </c>
      <c r="G61" s="30">
        <v>1</v>
      </c>
      <c r="H61" s="31" t="s">
        <v>19</v>
      </c>
      <c r="I61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62" spans="1:9" x14ac:dyDescent="0.3">
      <c r="A62" s="29" t="s">
        <v>135</v>
      </c>
      <c r="B62" s="31" t="s">
        <v>136</v>
      </c>
      <c r="C62" s="31" t="s">
        <v>9</v>
      </c>
      <c r="D62" s="31" t="s">
        <v>73</v>
      </c>
      <c r="E62" s="30">
        <v>1</v>
      </c>
      <c r="F62" s="30" t="s">
        <v>145</v>
      </c>
      <c r="G62" s="30">
        <v>2</v>
      </c>
      <c r="H62" s="31" t="s">
        <v>68</v>
      </c>
      <c r="I62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63" spans="1:9" x14ac:dyDescent="0.3">
      <c r="A63" s="29" t="s">
        <v>135</v>
      </c>
      <c r="B63" s="31" t="s">
        <v>136</v>
      </c>
      <c r="C63" s="31" t="s">
        <v>9</v>
      </c>
      <c r="D63" s="31" t="s">
        <v>69</v>
      </c>
      <c r="E63" s="30">
        <v>1</v>
      </c>
      <c r="F63" s="30" t="s">
        <v>145</v>
      </c>
      <c r="G63" s="30">
        <v>0</v>
      </c>
      <c r="H63" s="31" t="s">
        <v>72</v>
      </c>
      <c r="I63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64" spans="1:9" x14ac:dyDescent="0.3">
      <c r="A64" s="29" t="s">
        <v>137</v>
      </c>
      <c r="B64" s="31" t="s">
        <v>136</v>
      </c>
      <c r="C64" s="31" t="s">
        <v>109</v>
      </c>
      <c r="D64" s="31" t="s">
        <v>55</v>
      </c>
      <c r="E64" s="30">
        <v>0</v>
      </c>
      <c r="F64" s="30" t="s">
        <v>145</v>
      </c>
      <c r="G64" s="30">
        <v>1</v>
      </c>
      <c r="H64" s="31" t="s">
        <v>62</v>
      </c>
      <c r="I64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65" spans="1:9" x14ac:dyDescent="0.3">
      <c r="A65" s="29" t="s">
        <v>137</v>
      </c>
      <c r="B65" s="31" t="s">
        <v>136</v>
      </c>
      <c r="C65" s="31" t="s">
        <v>109</v>
      </c>
      <c r="D65" s="31" t="s">
        <v>63</v>
      </c>
      <c r="E65" s="30">
        <v>1</v>
      </c>
      <c r="F65" s="30" t="s">
        <v>145</v>
      </c>
      <c r="G65" s="30">
        <v>2</v>
      </c>
      <c r="H65" s="31" t="s">
        <v>54</v>
      </c>
      <c r="I65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66" spans="1:9" x14ac:dyDescent="0.3">
      <c r="A66" s="29" t="s">
        <v>138</v>
      </c>
      <c r="B66" s="31" t="s">
        <v>139</v>
      </c>
      <c r="C66" s="31" t="s">
        <v>105</v>
      </c>
      <c r="D66" s="31" t="s">
        <v>60</v>
      </c>
      <c r="E66" s="30">
        <v>1</v>
      </c>
      <c r="F66" s="30" t="s">
        <v>145</v>
      </c>
      <c r="G66" s="30">
        <v>0</v>
      </c>
      <c r="H66" s="31" t="s">
        <v>65</v>
      </c>
      <c r="I66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67" spans="1:9" x14ac:dyDescent="0.3">
      <c r="A67" s="29" t="s">
        <v>138</v>
      </c>
      <c r="B67" s="31" t="s">
        <v>139</v>
      </c>
      <c r="C67" s="31" t="s">
        <v>105</v>
      </c>
      <c r="D67" s="31" t="s">
        <v>66</v>
      </c>
      <c r="E67" s="30">
        <v>0</v>
      </c>
      <c r="F67" s="30" t="s">
        <v>145</v>
      </c>
      <c r="G67" s="30">
        <v>2</v>
      </c>
      <c r="H67" s="31" t="s">
        <v>59</v>
      </c>
      <c r="I67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68" spans="1:9" x14ac:dyDescent="0.3">
      <c r="A68" s="29" t="s">
        <v>140</v>
      </c>
      <c r="B68" s="31" t="s">
        <v>139</v>
      </c>
      <c r="C68" s="31" t="s">
        <v>119</v>
      </c>
      <c r="D68" s="31" t="s">
        <v>86</v>
      </c>
      <c r="E68" s="30">
        <v>1</v>
      </c>
      <c r="F68" s="30" t="s">
        <v>145</v>
      </c>
      <c r="G68" s="30">
        <v>2</v>
      </c>
      <c r="H68" s="31" t="s">
        <v>88</v>
      </c>
      <c r="I68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69" spans="1:9" x14ac:dyDescent="0.3">
      <c r="A69" s="29" t="s">
        <v>140</v>
      </c>
      <c r="B69" s="31" t="s">
        <v>139</v>
      </c>
      <c r="C69" s="31" t="s">
        <v>119</v>
      </c>
      <c r="D69" s="31" t="s">
        <v>89</v>
      </c>
      <c r="E69" s="30">
        <v>0</v>
      </c>
      <c r="F69" s="30" t="s">
        <v>145</v>
      </c>
      <c r="G69" s="30">
        <v>3</v>
      </c>
      <c r="H69" s="31" t="s">
        <v>85</v>
      </c>
      <c r="I69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70" spans="1:9" x14ac:dyDescent="0.3">
      <c r="A70" s="29" t="s">
        <v>141</v>
      </c>
      <c r="B70" s="31" t="s">
        <v>139</v>
      </c>
      <c r="C70" s="31" t="s">
        <v>142</v>
      </c>
      <c r="D70" s="31" t="s">
        <v>92</v>
      </c>
      <c r="E70" s="30">
        <v>2</v>
      </c>
      <c r="F70" s="30" t="s">
        <v>145</v>
      </c>
      <c r="G70" s="30">
        <v>1</v>
      </c>
      <c r="H70" s="31" t="s">
        <v>82</v>
      </c>
      <c r="I70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71" spans="1:9" x14ac:dyDescent="0.3">
      <c r="A71" s="29" t="s">
        <v>141</v>
      </c>
      <c r="B71" s="31" t="s">
        <v>139</v>
      </c>
      <c r="C71" s="31" t="s">
        <v>142</v>
      </c>
      <c r="D71" s="31" t="s">
        <v>83</v>
      </c>
      <c r="E71" s="30">
        <v>2</v>
      </c>
      <c r="F71" s="30" t="s">
        <v>145</v>
      </c>
      <c r="G71" s="30">
        <v>1</v>
      </c>
      <c r="H71" s="31" t="s">
        <v>91</v>
      </c>
      <c r="I71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72" spans="1:9" x14ac:dyDescent="0.3">
      <c r="A72" s="29" t="s">
        <v>143</v>
      </c>
      <c r="B72" s="31" t="s">
        <v>139</v>
      </c>
      <c r="C72" s="31" t="s">
        <v>13</v>
      </c>
      <c r="D72" s="31" t="s">
        <v>76</v>
      </c>
      <c r="E72" s="30">
        <v>1</v>
      </c>
      <c r="F72" s="30" t="s">
        <v>145</v>
      </c>
      <c r="G72" s="30">
        <v>2</v>
      </c>
      <c r="H72" s="31" t="s">
        <v>78</v>
      </c>
      <c r="I72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  <row r="73" spans="1:9" x14ac:dyDescent="0.3">
      <c r="A73" s="29" t="s">
        <v>143</v>
      </c>
      <c r="B73" s="31" t="s">
        <v>139</v>
      </c>
      <c r="C73" s="31" t="s">
        <v>13</v>
      </c>
      <c r="D73" s="31" t="s">
        <v>79</v>
      </c>
      <c r="E73" s="30">
        <v>0</v>
      </c>
      <c r="F73" s="30" t="s">
        <v>145</v>
      </c>
      <c r="G73" s="30">
        <v>3</v>
      </c>
      <c r="H73" s="31" t="s">
        <v>75</v>
      </c>
      <c r="I73" s="12">
        <f>IF(OR(Tabela_33433[[#This Row],[Placar Mandante]]="",Tabela_33433[[#This Row],[Placar Visitante]]="",Tabela_3[[#This Row],[Placar Mandante]]="",Tabela_3[[#This Row],[Placar Visitante]]=""),0,
IF(AND(Tabela_33433[[#This Row],[Placar Mandante]]=Tabela_3[[#This Row],[Placar Mandante]],Tabela_33433[[#This Row],[Placar Visitante]]=Tabela_3[[#This Row],[Placar Visitante]]),3,
IF(SIGN(Tabela_33433[[#This Row],[Placar Mandante]]-Tabela_33433[[#This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E3042-0C23-421C-8893-D72D97E7AA88}">
  <dimension ref="A1:L73"/>
  <sheetViews>
    <sheetView topLeftCell="B1" zoomScale="85" zoomScaleNormal="85" workbookViewId="0">
      <selection activeCell="H75" sqref="H75"/>
    </sheetView>
  </sheetViews>
  <sheetFormatPr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3.88671875" style="11" customWidth="1"/>
    <col min="11" max="11" width="10.21875" style="11" bestFit="1" customWidth="1"/>
    <col min="12" max="16384" width="8.88671875" style="11"/>
  </cols>
  <sheetData>
    <row r="1" spans="1:12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J1" s="41"/>
      <c r="K1" s="1" t="s">
        <v>147</v>
      </c>
      <c r="L1" s="41"/>
    </row>
    <row r="2" spans="1:12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0</v>
      </c>
      <c r="H2" t="s">
        <v>7</v>
      </c>
      <c r="I2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  <c r="J2" s="42"/>
      <c r="K2" s="3">
        <f>SUM(Tabela_33426[Pontuação])</f>
        <v>0</v>
      </c>
      <c r="L2" s="41"/>
    </row>
    <row r="3" spans="1:12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2</v>
      </c>
      <c r="H3" t="s">
        <v>12</v>
      </c>
      <c r="I3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  <c r="J3" s="43"/>
      <c r="K3" s="41"/>
      <c r="L3" s="41"/>
    </row>
    <row r="4" spans="1:12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0</v>
      </c>
      <c r="H4" t="s">
        <v>16</v>
      </c>
      <c r="I4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  <c r="J4" s="41"/>
      <c r="K4" s="41"/>
      <c r="L4" s="41"/>
    </row>
    <row r="5" spans="1:12" x14ac:dyDescent="0.3">
      <c r="A5" s="11" t="s">
        <v>18</v>
      </c>
      <c r="B5" t="s">
        <v>17</v>
      </c>
      <c r="C5" t="s">
        <v>21</v>
      </c>
      <c r="D5" t="s">
        <v>19</v>
      </c>
      <c r="E5" s="12">
        <v>0</v>
      </c>
      <c r="F5" s="12" t="s">
        <v>145</v>
      </c>
      <c r="G5" s="12">
        <v>1</v>
      </c>
      <c r="H5" t="s">
        <v>20</v>
      </c>
      <c r="I5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  <c r="J5" s="44"/>
      <c r="K5" s="41"/>
      <c r="L5" s="41"/>
    </row>
    <row r="6" spans="1:12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1</v>
      </c>
      <c r="H6" t="s">
        <v>24</v>
      </c>
      <c r="I6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  <c r="J6" s="45"/>
      <c r="K6" s="41"/>
      <c r="L6" s="41"/>
    </row>
    <row r="7" spans="1:12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0</v>
      </c>
      <c r="H7" t="s">
        <v>28</v>
      </c>
      <c r="I7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  <c r="J7" s="41"/>
      <c r="K7" s="41"/>
      <c r="L7" s="41"/>
    </row>
    <row r="8" spans="1:12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2</v>
      </c>
      <c r="H8" t="s">
        <v>32</v>
      </c>
      <c r="I8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  <c r="J8" s="46"/>
      <c r="K8" s="47"/>
      <c r="L8" s="41"/>
    </row>
    <row r="9" spans="1:12" x14ac:dyDescent="0.3">
      <c r="A9" s="11" t="s">
        <v>33</v>
      </c>
      <c r="B9" t="s">
        <v>36</v>
      </c>
      <c r="C9" t="s">
        <v>37</v>
      </c>
      <c r="D9" t="s">
        <v>34</v>
      </c>
      <c r="E9" s="12">
        <v>0</v>
      </c>
      <c r="F9" s="12" t="s">
        <v>145</v>
      </c>
      <c r="G9" s="12">
        <v>2</v>
      </c>
      <c r="H9" t="s">
        <v>35</v>
      </c>
      <c r="I9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  <c r="J9" s="41"/>
      <c r="K9" s="41"/>
      <c r="L9" s="41"/>
    </row>
    <row r="10" spans="1:12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5</v>
      </c>
      <c r="F10" s="12" t="s">
        <v>145</v>
      </c>
      <c r="G10" s="12">
        <v>0</v>
      </c>
      <c r="H10" t="s">
        <v>40</v>
      </c>
      <c r="I10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11" spans="1:12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0</v>
      </c>
      <c r="F11" s="12" t="s">
        <v>145</v>
      </c>
      <c r="G11" s="12">
        <v>0</v>
      </c>
      <c r="H11" t="s">
        <v>44</v>
      </c>
      <c r="I11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12" spans="1:12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1</v>
      </c>
      <c r="H12" t="s">
        <v>48</v>
      </c>
      <c r="I12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13" spans="1:12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2</v>
      </c>
      <c r="F13" s="12" t="s">
        <v>145</v>
      </c>
      <c r="G13" s="12">
        <v>0</v>
      </c>
      <c r="H13" t="s">
        <v>52</v>
      </c>
      <c r="I13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14" spans="1:12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4</v>
      </c>
      <c r="F14" s="12" t="s">
        <v>145</v>
      </c>
      <c r="G14" s="12">
        <v>0</v>
      </c>
      <c r="H14" t="s">
        <v>55</v>
      </c>
      <c r="I14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15" spans="1:12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0</v>
      </c>
      <c r="H15" t="s">
        <v>60</v>
      </c>
      <c r="I15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16" spans="1:12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3</v>
      </c>
      <c r="H16" t="s">
        <v>63</v>
      </c>
      <c r="I16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0</v>
      </c>
      <c r="F17" s="12" t="s">
        <v>145</v>
      </c>
      <c r="G17" s="12">
        <v>2</v>
      </c>
      <c r="H17" t="s">
        <v>66</v>
      </c>
      <c r="I17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5</v>
      </c>
      <c r="F18" s="12" t="s">
        <v>145</v>
      </c>
      <c r="G18" s="12">
        <v>0</v>
      </c>
      <c r="H18" t="s">
        <v>69</v>
      </c>
      <c r="I18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2</v>
      </c>
      <c r="H19" t="s">
        <v>73</v>
      </c>
      <c r="I19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0</v>
      </c>
      <c r="H20" t="s">
        <v>76</v>
      </c>
      <c r="I20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1</v>
      </c>
      <c r="F21" s="12" t="s">
        <v>145</v>
      </c>
      <c r="G21" s="12">
        <v>1</v>
      </c>
      <c r="H21" t="s">
        <v>79</v>
      </c>
      <c r="I21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0</v>
      </c>
      <c r="H22" t="s">
        <v>83</v>
      </c>
      <c r="I22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1</v>
      </c>
      <c r="H23" t="s">
        <v>86</v>
      </c>
      <c r="I23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3</v>
      </c>
      <c r="F24" s="12" t="s">
        <v>145</v>
      </c>
      <c r="G24" s="12">
        <v>0</v>
      </c>
      <c r="H24" t="s">
        <v>89</v>
      </c>
      <c r="I24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3</v>
      </c>
      <c r="H25" t="s">
        <v>92</v>
      </c>
      <c r="I25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0</v>
      </c>
      <c r="H26" t="s">
        <v>7</v>
      </c>
      <c r="I26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1</v>
      </c>
      <c r="F27" s="12" t="s">
        <v>145</v>
      </c>
      <c r="G27" s="12">
        <v>1</v>
      </c>
      <c r="H27" t="s">
        <v>16</v>
      </c>
      <c r="I27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0</v>
      </c>
      <c r="H28" t="s">
        <v>23</v>
      </c>
      <c r="I28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1</v>
      </c>
      <c r="H30" t="s">
        <v>34</v>
      </c>
      <c r="I30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0</v>
      </c>
      <c r="F31" s="12" t="s">
        <v>145</v>
      </c>
      <c r="G31" s="12">
        <v>2</v>
      </c>
      <c r="H31" t="s">
        <v>28</v>
      </c>
      <c r="I31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5</v>
      </c>
      <c r="F32" s="12" t="s">
        <v>145</v>
      </c>
      <c r="G32" s="12">
        <v>0</v>
      </c>
      <c r="H32" t="s">
        <v>31</v>
      </c>
      <c r="I32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2</v>
      </c>
      <c r="H33" t="s">
        <v>20</v>
      </c>
      <c r="I33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1</v>
      </c>
      <c r="H34" t="s">
        <v>51</v>
      </c>
      <c r="I34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3</v>
      </c>
      <c r="F35" s="12" t="s">
        <v>145</v>
      </c>
      <c r="G35" s="12">
        <v>0</v>
      </c>
      <c r="H35" t="s">
        <v>47</v>
      </c>
      <c r="I35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0</v>
      </c>
      <c r="H36" t="s">
        <v>40</v>
      </c>
      <c r="I36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0</v>
      </c>
      <c r="F37" s="12" t="s">
        <v>145</v>
      </c>
      <c r="G37" s="12">
        <v>2</v>
      </c>
      <c r="H37" t="s">
        <v>44</v>
      </c>
      <c r="I37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0</v>
      </c>
      <c r="H38" t="s">
        <v>62</v>
      </c>
      <c r="I38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0</v>
      </c>
      <c r="H39" t="s">
        <v>65</v>
      </c>
      <c r="I39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0</v>
      </c>
      <c r="H40" t="s">
        <v>55</v>
      </c>
      <c r="I40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2</v>
      </c>
      <c r="H41" t="s">
        <v>60</v>
      </c>
      <c r="I41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3</v>
      </c>
      <c r="F42" s="12" t="s">
        <v>145</v>
      </c>
      <c r="G42" s="12">
        <v>0</v>
      </c>
      <c r="H42" t="s">
        <v>78</v>
      </c>
      <c r="I42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5</v>
      </c>
      <c r="F43" s="12" t="s">
        <v>145</v>
      </c>
      <c r="G43" s="12">
        <v>0</v>
      </c>
      <c r="H43" t="s">
        <v>72</v>
      </c>
      <c r="I43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2</v>
      </c>
      <c r="F44" s="12" t="s">
        <v>145</v>
      </c>
      <c r="G44" s="12">
        <v>1</v>
      </c>
      <c r="H44" t="s">
        <v>69</v>
      </c>
      <c r="I44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1</v>
      </c>
      <c r="H45" t="s">
        <v>76</v>
      </c>
      <c r="I45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0</v>
      </c>
      <c r="H46" t="s">
        <v>91</v>
      </c>
      <c r="I46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3</v>
      </c>
      <c r="F47" s="12" t="s">
        <v>145</v>
      </c>
      <c r="G47" s="12">
        <v>0</v>
      </c>
      <c r="H47" t="s">
        <v>88</v>
      </c>
      <c r="I47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0</v>
      </c>
      <c r="H49" t="s">
        <v>83</v>
      </c>
      <c r="I49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0</v>
      </c>
      <c r="H50" t="s">
        <v>23</v>
      </c>
      <c r="I50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1</v>
      </c>
      <c r="H51" t="s">
        <v>15</v>
      </c>
      <c r="I51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2</v>
      </c>
      <c r="H52" t="s">
        <v>27</v>
      </c>
      <c r="I52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0</v>
      </c>
      <c r="H53" t="s">
        <v>31</v>
      </c>
      <c r="I53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1</v>
      </c>
      <c r="H54" t="s">
        <v>11</v>
      </c>
      <c r="I54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0</v>
      </c>
      <c r="F55" s="12" t="s">
        <v>145</v>
      </c>
      <c r="G55" s="12">
        <v>2</v>
      </c>
      <c r="H55" t="s">
        <v>6</v>
      </c>
      <c r="I55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2</v>
      </c>
      <c r="H56" t="s">
        <v>47</v>
      </c>
      <c r="I56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3</v>
      </c>
      <c r="H57" t="s">
        <v>39</v>
      </c>
      <c r="I57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1</v>
      </c>
      <c r="H58" t="s">
        <v>51</v>
      </c>
      <c r="I58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2</v>
      </c>
      <c r="H59" t="s">
        <v>43</v>
      </c>
      <c r="I59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2</v>
      </c>
      <c r="F60" s="12" t="s">
        <v>145</v>
      </c>
      <c r="G60" s="12">
        <v>0</v>
      </c>
      <c r="H60" t="s">
        <v>34</v>
      </c>
      <c r="I60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0</v>
      </c>
      <c r="F61" s="12" t="s">
        <v>145</v>
      </c>
      <c r="G61" s="12">
        <v>1</v>
      </c>
      <c r="H61" t="s">
        <v>19</v>
      </c>
      <c r="I61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0</v>
      </c>
      <c r="F62" s="12" t="s">
        <v>145</v>
      </c>
      <c r="G62" s="12">
        <v>3</v>
      </c>
      <c r="H62" t="s">
        <v>68</v>
      </c>
      <c r="I62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1</v>
      </c>
      <c r="F63" s="12" t="s">
        <v>145</v>
      </c>
      <c r="G63" s="12">
        <v>0</v>
      </c>
      <c r="H63" t="s">
        <v>72</v>
      </c>
      <c r="I63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2</v>
      </c>
      <c r="H64" t="s">
        <v>62</v>
      </c>
      <c r="I64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1</v>
      </c>
      <c r="H65" t="s">
        <v>54</v>
      </c>
      <c r="I65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2</v>
      </c>
      <c r="F66" s="12" t="s">
        <v>145</v>
      </c>
      <c r="G66" s="12">
        <v>0</v>
      </c>
      <c r="H66" t="s">
        <v>65</v>
      </c>
      <c r="I66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2</v>
      </c>
      <c r="H67" t="s">
        <v>59</v>
      </c>
      <c r="I67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3</v>
      </c>
      <c r="F68" s="12" t="s">
        <v>145</v>
      </c>
      <c r="G68" s="12">
        <v>0</v>
      </c>
      <c r="H68" t="s">
        <v>88</v>
      </c>
      <c r="I68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4</v>
      </c>
      <c r="H69" t="s">
        <v>85</v>
      </c>
      <c r="I69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2</v>
      </c>
      <c r="F70" s="12" t="s">
        <v>145</v>
      </c>
      <c r="G70" s="12">
        <v>2</v>
      </c>
      <c r="H70" t="s">
        <v>82</v>
      </c>
      <c r="I70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0</v>
      </c>
      <c r="H71" t="s">
        <v>91</v>
      </c>
      <c r="I71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2</v>
      </c>
      <c r="H72" t="s">
        <v>78</v>
      </c>
      <c r="I72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4</v>
      </c>
      <c r="H73" t="s">
        <v>75</v>
      </c>
      <c r="I73" s="12">
        <f>IF(OR(Tabela_33426[[#This Row],[Placar Mandante]]="",Tabela_33426[[#This Row],[Placar Visitante]]="",Tabela_3[[#This Row],[Placar Mandante]]="",Tabela_3[[#This Row],[Placar Visitante]]=""),0,
IF(AND(Tabela_33426[[#This Row],[Placar Mandante]]=Tabela_3[[#This Row],[Placar Mandante]],Tabela_33426[[#This Row],[Placar Visitante]]=Tabela_3[[#This Row],[Placar Visitante]]),3,
IF(SIGN(Tabela_33426[[#This Row],[Placar Mandante]]-Tabela_33426[[#This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9EB9-2D2A-4463-9AE3-7D79AF715A3E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6640625" style="11" hidden="1" customWidth="1"/>
    <col min="2" max="2" width="10.33203125" style="11" bestFit="1" customWidth="1"/>
    <col min="3" max="3" width="9.44140625" style="11" bestFit="1" customWidth="1"/>
    <col min="4" max="4" width="18.33203125" style="11" bestFit="1" customWidth="1"/>
    <col min="5" max="5" width="18.33203125" style="11" customWidth="1"/>
    <col min="6" max="6" width="4.109375" style="12" bestFit="1" customWidth="1"/>
    <col min="7" max="7" width="18.33203125" style="11" customWidth="1"/>
    <col min="8" max="8" width="18.33203125" style="11" bestFit="1" customWidth="1"/>
    <col min="9" max="9" width="8.88671875" style="11" customWidth="1"/>
    <col min="10" max="10" width="10.6640625" style="11" customWidth="1"/>
    <col min="11" max="11" width="10.3320312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0</v>
      </c>
      <c r="H2" t="s">
        <v>7</v>
      </c>
      <c r="I2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  <c r="J2" s="13"/>
      <c r="K2" s="3">
        <f>SUM(Tabela_33451[Pontuação])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0</v>
      </c>
      <c r="H3" t="s">
        <v>12</v>
      </c>
      <c r="I3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1</v>
      </c>
      <c r="H4" t="s">
        <v>16</v>
      </c>
      <c r="I4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2</v>
      </c>
      <c r="H5" t="s">
        <v>20</v>
      </c>
      <c r="I5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1</v>
      </c>
      <c r="H6" t="s">
        <v>24</v>
      </c>
      <c r="I6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0</v>
      </c>
      <c r="H7" t="s">
        <v>28</v>
      </c>
      <c r="I7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3</v>
      </c>
      <c r="H8" t="s">
        <v>32</v>
      </c>
      <c r="I8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2</v>
      </c>
      <c r="H9" t="s">
        <v>35</v>
      </c>
      <c r="I9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3</v>
      </c>
      <c r="F10" s="12" t="s">
        <v>145</v>
      </c>
      <c r="G10" s="12">
        <v>0</v>
      </c>
      <c r="H10" t="s">
        <v>40</v>
      </c>
      <c r="I10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0</v>
      </c>
      <c r="H11" t="s">
        <v>44</v>
      </c>
      <c r="I11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0</v>
      </c>
      <c r="F12" s="12" t="s">
        <v>145</v>
      </c>
      <c r="G12" s="12">
        <v>1</v>
      </c>
      <c r="H12" t="s">
        <v>48</v>
      </c>
      <c r="I12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0</v>
      </c>
      <c r="F13" s="12" t="s">
        <v>145</v>
      </c>
      <c r="G13" s="12">
        <v>1</v>
      </c>
      <c r="H13" t="s">
        <v>52</v>
      </c>
      <c r="I13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2</v>
      </c>
      <c r="F14" s="12" t="s">
        <v>145</v>
      </c>
      <c r="G14" s="12">
        <v>0</v>
      </c>
      <c r="H14" t="s">
        <v>55</v>
      </c>
      <c r="I14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1</v>
      </c>
      <c r="H15" t="s">
        <v>60</v>
      </c>
      <c r="I15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1</v>
      </c>
      <c r="F16" s="12" t="s">
        <v>145</v>
      </c>
      <c r="G16" s="12">
        <v>3</v>
      </c>
      <c r="H16" t="s">
        <v>63</v>
      </c>
      <c r="I16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0</v>
      </c>
      <c r="F17" s="12" t="s">
        <v>145</v>
      </c>
      <c r="G17" s="12">
        <v>1</v>
      </c>
      <c r="H17" t="s">
        <v>66</v>
      </c>
      <c r="I17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4</v>
      </c>
      <c r="F18" s="12" t="s">
        <v>145</v>
      </c>
      <c r="G18" s="12">
        <v>0</v>
      </c>
      <c r="H18" t="s">
        <v>69</v>
      </c>
      <c r="I18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1</v>
      </c>
      <c r="F19" s="12" t="s">
        <v>145</v>
      </c>
      <c r="G19" s="12">
        <v>2</v>
      </c>
      <c r="H19" t="s">
        <v>73</v>
      </c>
      <c r="I19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0</v>
      </c>
      <c r="H20" t="s">
        <v>76</v>
      </c>
      <c r="I20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1</v>
      </c>
      <c r="F21" s="12" t="s">
        <v>145</v>
      </c>
      <c r="G21" s="12">
        <v>2</v>
      </c>
      <c r="H21" t="s">
        <v>79</v>
      </c>
      <c r="I21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4</v>
      </c>
      <c r="F22" s="12" t="s">
        <v>145</v>
      </c>
      <c r="G22" s="12">
        <v>0</v>
      </c>
      <c r="H22" t="s">
        <v>83</v>
      </c>
      <c r="I22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3</v>
      </c>
      <c r="F23" s="12" t="s">
        <v>145</v>
      </c>
      <c r="G23" s="12">
        <v>1</v>
      </c>
      <c r="H23" t="s">
        <v>86</v>
      </c>
      <c r="I23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1</v>
      </c>
      <c r="H24" t="s">
        <v>89</v>
      </c>
      <c r="I24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1</v>
      </c>
      <c r="H25" t="s">
        <v>92</v>
      </c>
      <c r="I25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0</v>
      </c>
      <c r="F26" s="12" t="s">
        <v>145</v>
      </c>
      <c r="G26" s="12">
        <v>1</v>
      </c>
      <c r="H26" t="s">
        <v>7</v>
      </c>
      <c r="I26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1</v>
      </c>
      <c r="F27" s="12" t="s">
        <v>145</v>
      </c>
      <c r="G27" s="12">
        <v>0</v>
      </c>
      <c r="H27" t="s">
        <v>16</v>
      </c>
      <c r="I27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1</v>
      </c>
      <c r="F28" s="12" t="s">
        <v>145</v>
      </c>
      <c r="G28" s="12">
        <v>0</v>
      </c>
      <c r="H28" t="s">
        <v>23</v>
      </c>
      <c r="I28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1</v>
      </c>
      <c r="F29" s="12" t="s">
        <v>145</v>
      </c>
      <c r="G29" s="12">
        <v>2</v>
      </c>
      <c r="H29" t="s">
        <v>11</v>
      </c>
      <c r="I29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1</v>
      </c>
      <c r="F30" s="12" t="s">
        <v>145</v>
      </c>
      <c r="G30" s="12">
        <v>2</v>
      </c>
      <c r="H30" t="s">
        <v>34</v>
      </c>
      <c r="I30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0</v>
      </c>
      <c r="F31" s="12" t="s">
        <v>145</v>
      </c>
      <c r="G31" s="12">
        <v>1</v>
      </c>
      <c r="H31" t="s">
        <v>28</v>
      </c>
      <c r="I31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3</v>
      </c>
      <c r="F32" s="12" t="s">
        <v>145</v>
      </c>
      <c r="G32" s="12">
        <v>0</v>
      </c>
      <c r="H32" t="s">
        <v>31</v>
      </c>
      <c r="I32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0</v>
      </c>
      <c r="F33" s="12" t="s">
        <v>145</v>
      </c>
      <c r="G33" s="12">
        <v>1</v>
      </c>
      <c r="H33" t="s">
        <v>20</v>
      </c>
      <c r="I33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0</v>
      </c>
      <c r="H34" t="s">
        <v>51</v>
      </c>
      <c r="I34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1</v>
      </c>
      <c r="H35" t="s">
        <v>47</v>
      </c>
      <c r="I35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1</v>
      </c>
      <c r="F36" s="12" t="s">
        <v>145</v>
      </c>
      <c r="G36" s="12">
        <v>0</v>
      </c>
      <c r="H36" t="s">
        <v>40</v>
      </c>
      <c r="I36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0</v>
      </c>
      <c r="H37" t="s">
        <v>44</v>
      </c>
      <c r="I37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0</v>
      </c>
      <c r="H38" t="s">
        <v>62</v>
      </c>
      <c r="I38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1</v>
      </c>
      <c r="F39" s="12" t="s">
        <v>145</v>
      </c>
      <c r="G39" s="12">
        <v>0</v>
      </c>
      <c r="H39" t="s">
        <v>65</v>
      </c>
      <c r="I39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1</v>
      </c>
      <c r="F40" s="12" t="s">
        <v>145</v>
      </c>
      <c r="G40" s="12">
        <v>0</v>
      </c>
      <c r="H40" t="s">
        <v>55</v>
      </c>
      <c r="I40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1</v>
      </c>
      <c r="H41" t="s">
        <v>60</v>
      </c>
      <c r="I41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1</v>
      </c>
      <c r="F42" s="12" t="s">
        <v>145</v>
      </c>
      <c r="G42" s="12">
        <v>0</v>
      </c>
      <c r="H42" t="s">
        <v>78</v>
      </c>
      <c r="I42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2</v>
      </c>
      <c r="F44" s="12" t="s">
        <v>145</v>
      </c>
      <c r="G44" s="12">
        <v>1</v>
      </c>
      <c r="H44" t="s">
        <v>69</v>
      </c>
      <c r="I44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1</v>
      </c>
      <c r="H45" t="s">
        <v>76</v>
      </c>
      <c r="I45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0</v>
      </c>
      <c r="H46" t="s">
        <v>91</v>
      </c>
      <c r="I46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3</v>
      </c>
      <c r="F47" s="12" t="s">
        <v>145</v>
      </c>
      <c r="G47" s="12">
        <v>0</v>
      </c>
      <c r="H47" t="s">
        <v>88</v>
      </c>
      <c r="I47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1</v>
      </c>
      <c r="F48" s="12" t="s">
        <v>145</v>
      </c>
      <c r="G48" s="12">
        <v>3</v>
      </c>
      <c r="H48" t="s">
        <v>86</v>
      </c>
      <c r="I48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1</v>
      </c>
      <c r="F49" s="12" t="s">
        <v>145</v>
      </c>
      <c r="G49" s="12">
        <v>0</v>
      </c>
      <c r="H49" t="s">
        <v>83</v>
      </c>
      <c r="I49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0</v>
      </c>
      <c r="H50" t="s">
        <v>23</v>
      </c>
      <c r="I50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0</v>
      </c>
      <c r="F51" s="12" t="s">
        <v>145</v>
      </c>
      <c r="G51" s="12">
        <v>1</v>
      </c>
      <c r="H51" t="s">
        <v>15</v>
      </c>
      <c r="I51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2</v>
      </c>
      <c r="H52" t="s">
        <v>27</v>
      </c>
      <c r="I52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1</v>
      </c>
      <c r="F53" s="12" t="s">
        <v>145</v>
      </c>
      <c r="G53" s="12">
        <v>0</v>
      </c>
      <c r="H53" t="s">
        <v>31</v>
      </c>
      <c r="I53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2</v>
      </c>
      <c r="H54" t="s">
        <v>11</v>
      </c>
      <c r="I54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3</v>
      </c>
      <c r="H55" t="s">
        <v>6</v>
      </c>
      <c r="I55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1</v>
      </c>
      <c r="H56" t="s">
        <v>47</v>
      </c>
      <c r="I56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0</v>
      </c>
      <c r="F57" s="12" t="s">
        <v>145</v>
      </c>
      <c r="G57" s="12">
        <v>1</v>
      </c>
      <c r="H57" t="s">
        <v>39</v>
      </c>
      <c r="I57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0</v>
      </c>
      <c r="H58" t="s">
        <v>51</v>
      </c>
      <c r="I58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2</v>
      </c>
      <c r="H59" t="s">
        <v>43</v>
      </c>
      <c r="I59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0</v>
      </c>
      <c r="H60" t="s">
        <v>34</v>
      </c>
      <c r="I60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0</v>
      </c>
      <c r="H61" t="s">
        <v>19</v>
      </c>
      <c r="I61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0</v>
      </c>
      <c r="F62" s="12" t="s">
        <v>145</v>
      </c>
      <c r="G62" s="12">
        <v>2</v>
      </c>
      <c r="H62" t="s">
        <v>68</v>
      </c>
      <c r="I62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1</v>
      </c>
      <c r="F63" s="12" t="s">
        <v>145</v>
      </c>
      <c r="G63" s="12">
        <v>0</v>
      </c>
      <c r="H63" t="s">
        <v>72</v>
      </c>
      <c r="I63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0</v>
      </c>
      <c r="H64" t="s">
        <v>62</v>
      </c>
      <c r="I64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2</v>
      </c>
      <c r="F65" s="12" t="s">
        <v>145</v>
      </c>
      <c r="G65" s="12">
        <v>0</v>
      </c>
      <c r="H65" t="s">
        <v>54</v>
      </c>
      <c r="I65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0</v>
      </c>
      <c r="H66" t="s">
        <v>65</v>
      </c>
      <c r="I66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1</v>
      </c>
      <c r="H67" t="s">
        <v>59</v>
      </c>
      <c r="I67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1</v>
      </c>
      <c r="F68" s="12" t="s">
        <v>145</v>
      </c>
      <c r="G68" s="12">
        <v>0</v>
      </c>
      <c r="H68" t="s">
        <v>88</v>
      </c>
      <c r="I68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2</v>
      </c>
      <c r="H69" t="s">
        <v>85</v>
      </c>
      <c r="I69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3</v>
      </c>
      <c r="H70" t="s">
        <v>82</v>
      </c>
      <c r="I70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0</v>
      </c>
      <c r="H71" t="s">
        <v>91</v>
      </c>
      <c r="I71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0</v>
      </c>
      <c r="F72" s="12" t="s">
        <v>145</v>
      </c>
      <c r="G72" s="12">
        <v>1</v>
      </c>
      <c r="H72" t="s">
        <v>78</v>
      </c>
      <c r="I72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2</v>
      </c>
      <c r="H73" t="s">
        <v>75</v>
      </c>
      <c r="I73" s="12">
        <f>IF(OR(Tabela_33451[[#This Row],[Placar Mandante]]="",Tabela_33451[[#This Row],[Placar Visitante]]="",Tabela_3[[#This Row],[Placar Mandante]]="",Tabela_3[[#This Row],[Placar Visitante]]=""),0,
IF(AND(Tabela_33451[[#This Row],[Placar Mandante]]=Tabela_3[[#This Row],[Placar Mandante]],Tabela_33451[[#This Row],[Placar Visitante]]=Tabela_3[[#This Row],[Placar Visitante]]),3,
IF(SIGN(Tabela_33451[[#This Row],[Placar Mandante]]-Tabela_33451[[#This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A2A8-6577-4170-A69A-D3F8BF95671C}">
  <dimension ref="A1:K73"/>
  <sheetViews>
    <sheetView topLeftCell="B1" zoomScaleNormal="100" workbookViewId="0">
      <selection activeCell="H75" sqref="H75"/>
    </sheetView>
  </sheetViews>
  <sheetFormatPr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5.4414062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1</v>
      </c>
      <c r="F2" s="12" t="s">
        <v>145</v>
      </c>
      <c r="G2" s="12">
        <v>1</v>
      </c>
      <c r="H2" t="s">
        <v>7</v>
      </c>
      <c r="I2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  <c r="J2" s="13"/>
      <c r="K2" s="3">
        <f>SUM(Tabela_33452[Pontuação])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2</v>
      </c>
      <c r="F3" s="12" t="s">
        <v>145</v>
      </c>
      <c r="G3" s="12">
        <v>1</v>
      </c>
      <c r="H3" t="s">
        <v>12</v>
      </c>
      <c r="I3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0</v>
      </c>
      <c r="H4" t="s">
        <v>16</v>
      </c>
      <c r="I4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1</v>
      </c>
      <c r="H5" t="s">
        <v>20</v>
      </c>
      <c r="I5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1</v>
      </c>
      <c r="H7" t="s">
        <v>28</v>
      </c>
      <c r="I7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1</v>
      </c>
      <c r="H8" t="s">
        <v>32</v>
      </c>
      <c r="I8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2</v>
      </c>
      <c r="H9" t="s">
        <v>35</v>
      </c>
      <c r="I9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4</v>
      </c>
      <c r="F10" s="12" t="s">
        <v>145</v>
      </c>
      <c r="G10" s="12">
        <v>0</v>
      </c>
      <c r="H10" t="s">
        <v>40</v>
      </c>
      <c r="I10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2</v>
      </c>
      <c r="H11" t="s">
        <v>44</v>
      </c>
      <c r="I11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2</v>
      </c>
      <c r="H12" t="s">
        <v>48</v>
      </c>
      <c r="I12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2</v>
      </c>
      <c r="H13" t="s">
        <v>52</v>
      </c>
      <c r="I13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5</v>
      </c>
      <c r="F14" s="12" t="s">
        <v>145</v>
      </c>
      <c r="G14" s="12">
        <v>0</v>
      </c>
      <c r="H14" t="s">
        <v>55</v>
      </c>
      <c r="I14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1</v>
      </c>
      <c r="F15" s="12" t="s">
        <v>145</v>
      </c>
      <c r="G15" s="12">
        <v>2</v>
      </c>
      <c r="H15" t="s">
        <v>60</v>
      </c>
      <c r="I15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2</v>
      </c>
      <c r="F16" s="12" t="s">
        <v>145</v>
      </c>
      <c r="G16" s="12">
        <v>2</v>
      </c>
      <c r="H16" t="s">
        <v>63</v>
      </c>
      <c r="I16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0</v>
      </c>
      <c r="H17" t="s">
        <v>66</v>
      </c>
      <c r="I17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3</v>
      </c>
      <c r="F18" s="12" t="s">
        <v>145</v>
      </c>
      <c r="G18" s="12">
        <v>1</v>
      </c>
      <c r="H18" t="s">
        <v>69</v>
      </c>
      <c r="I18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3</v>
      </c>
      <c r="H19" t="s">
        <v>73</v>
      </c>
      <c r="I19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2</v>
      </c>
      <c r="F20" s="12" t="s">
        <v>145</v>
      </c>
      <c r="G20" s="12">
        <v>1</v>
      </c>
      <c r="H20" t="s">
        <v>76</v>
      </c>
      <c r="I20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0</v>
      </c>
      <c r="H21" t="s">
        <v>79</v>
      </c>
      <c r="I21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2</v>
      </c>
      <c r="F22" s="12" t="s">
        <v>145</v>
      </c>
      <c r="G22" s="12">
        <v>0</v>
      </c>
      <c r="H22" t="s">
        <v>83</v>
      </c>
      <c r="I22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1</v>
      </c>
      <c r="H23" t="s">
        <v>86</v>
      </c>
      <c r="I23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3</v>
      </c>
      <c r="F24" s="12" t="s">
        <v>145</v>
      </c>
      <c r="G24" s="12">
        <v>1</v>
      </c>
      <c r="H24" t="s">
        <v>89</v>
      </c>
      <c r="I24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1</v>
      </c>
      <c r="F25" s="12" t="s">
        <v>145</v>
      </c>
      <c r="G25" s="12">
        <v>3</v>
      </c>
      <c r="H25" t="s">
        <v>92</v>
      </c>
      <c r="I25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1</v>
      </c>
      <c r="F26" s="12" t="s">
        <v>145</v>
      </c>
      <c r="G26" s="12">
        <v>2</v>
      </c>
      <c r="H26" t="s">
        <v>7</v>
      </c>
      <c r="I26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0</v>
      </c>
      <c r="H27" t="s">
        <v>16</v>
      </c>
      <c r="I27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0</v>
      </c>
      <c r="H28" t="s">
        <v>23</v>
      </c>
      <c r="I28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1</v>
      </c>
      <c r="F29" s="12" t="s">
        <v>145</v>
      </c>
      <c r="G29" s="12">
        <v>3</v>
      </c>
      <c r="H29" t="s">
        <v>11</v>
      </c>
      <c r="I29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1</v>
      </c>
      <c r="F30" s="12" t="s">
        <v>145</v>
      </c>
      <c r="G30" s="12">
        <v>1</v>
      </c>
      <c r="H30" t="s">
        <v>34</v>
      </c>
      <c r="I30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3</v>
      </c>
      <c r="F31" s="12" t="s">
        <v>145</v>
      </c>
      <c r="G31" s="12">
        <v>2</v>
      </c>
      <c r="H31" t="s">
        <v>28</v>
      </c>
      <c r="I31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1</v>
      </c>
      <c r="H32" t="s">
        <v>31</v>
      </c>
      <c r="I32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2</v>
      </c>
      <c r="F33" s="12" t="s">
        <v>145</v>
      </c>
      <c r="G33" s="12">
        <v>2</v>
      </c>
      <c r="H33" t="s">
        <v>20</v>
      </c>
      <c r="I33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3</v>
      </c>
      <c r="F34" s="12" t="s">
        <v>145</v>
      </c>
      <c r="G34" s="12">
        <v>2</v>
      </c>
      <c r="H34" t="s">
        <v>51</v>
      </c>
      <c r="I34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3</v>
      </c>
      <c r="F35" s="12" t="s">
        <v>145</v>
      </c>
      <c r="G35" s="12">
        <v>2</v>
      </c>
      <c r="H35" t="s">
        <v>47</v>
      </c>
      <c r="I35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2</v>
      </c>
      <c r="F37" s="12" t="s">
        <v>145</v>
      </c>
      <c r="G37" s="12">
        <v>1</v>
      </c>
      <c r="H37" t="s">
        <v>44</v>
      </c>
      <c r="I37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1</v>
      </c>
      <c r="H38" t="s">
        <v>62</v>
      </c>
      <c r="I38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1</v>
      </c>
      <c r="F39" s="12" t="s">
        <v>145</v>
      </c>
      <c r="G39" s="12">
        <v>1</v>
      </c>
      <c r="H39" t="s">
        <v>65</v>
      </c>
      <c r="I39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0</v>
      </c>
      <c r="H40" t="s">
        <v>55</v>
      </c>
      <c r="I40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1</v>
      </c>
      <c r="F41" s="12" t="s">
        <v>145</v>
      </c>
      <c r="G41" s="12">
        <v>4</v>
      </c>
      <c r="H41" t="s">
        <v>60</v>
      </c>
      <c r="I41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0</v>
      </c>
      <c r="H42" t="s">
        <v>78</v>
      </c>
      <c r="I42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4</v>
      </c>
      <c r="F43" s="12" t="s">
        <v>145</v>
      </c>
      <c r="G43" s="12">
        <v>1</v>
      </c>
      <c r="H43" t="s">
        <v>72</v>
      </c>
      <c r="I43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3</v>
      </c>
      <c r="F44" s="12" t="s">
        <v>145</v>
      </c>
      <c r="G44" s="12">
        <v>2</v>
      </c>
      <c r="H44" t="s">
        <v>69</v>
      </c>
      <c r="I44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2</v>
      </c>
      <c r="H45" t="s">
        <v>76</v>
      </c>
      <c r="I45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0</v>
      </c>
      <c r="H46" t="s">
        <v>91</v>
      </c>
      <c r="I46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1</v>
      </c>
      <c r="H47" t="s">
        <v>88</v>
      </c>
      <c r="I47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1</v>
      </c>
      <c r="H48" t="s">
        <v>86</v>
      </c>
      <c r="I48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3</v>
      </c>
      <c r="F49" s="12" t="s">
        <v>145</v>
      </c>
      <c r="G49" s="12">
        <v>0</v>
      </c>
      <c r="H49" t="s">
        <v>83</v>
      </c>
      <c r="I49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1</v>
      </c>
      <c r="H50" t="s">
        <v>23</v>
      </c>
      <c r="I50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2</v>
      </c>
      <c r="F51" s="12" t="s">
        <v>145</v>
      </c>
      <c r="G51" s="12">
        <v>1</v>
      </c>
      <c r="H51" t="s">
        <v>15</v>
      </c>
      <c r="I51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1</v>
      </c>
      <c r="F52" s="12" t="s">
        <v>145</v>
      </c>
      <c r="G52" s="12">
        <v>3</v>
      </c>
      <c r="H52" t="s">
        <v>27</v>
      </c>
      <c r="I52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1</v>
      </c>
      <c r="H53" t="s">
        <v>31</v>
      </c>
      <c r="I53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2</v>
      </c>
      <c r="F54" s="12" t="s">
        <v>145</v>
      </c>
      <c r="G54" s="12">
        <v>2</v>
      </c>
      <c r="H54" t="s">
        <v>11</v>
      </c>
      <c r="I54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0</v>
      </c>
      <c r="F55" s="12" t="s">
        <v>145</v>
      </c>
      <c r="G55" s="12">
        <v>2</v>
      </c>
      <c r="H55" t="s">
        <v>6</v>
      </c>
      <c r="I55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1</v>
      </c>
      <c r="H56" t="s">
        <v>47</v>
      </c>
      <c r="I56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0</v>
      </c>
      <c r="F57" s="12" t="s">
        <v>145</v>
      </c>
      <c r="G57" s="12">
        <v>2</v>
      </c>
      <c r="H57" t="s">
        <v>39</v>
      </c>
      <c r="I57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2</v>
      </c>
      <c r="H58" t="s">
        <v>51</v>
      </c>
      <c r="I58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3</v>
      </c>
      <c r="H59" t="s">
        <v>43</v>
      </c>
      <c r="I59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2</v>
      </c>
      <c r="F60" s="12" t="s">
        <v>145</v>
      </c>
      <c r="G60" s="12">
        <v>1</v>
      </c>
      <c r="H60" t="s">
        <v>34</v>
      </c>
      <c r="I60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3</v>
      </c>
      <c r="F61" s="12" t="s">
        <v>145</v>
      </c>
      <c r="G61" s="12">
        <v>2</v>
      </c>
      <c r="H61" t="s">
        <v>19</v>
      </c>
      <c r="I61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3</v>
      </c>
      <c r="F62" s="12" t="s">
        <v>145</v>
      </c>
      <c r="G62" s="12">
        <v>3</v>
      </c>
      <c r="H62" t="s">
        <v>68</v>
      </c>
      <c r="I62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1</v>
      </c>
      <c r="H63" t="s">
        <v>72</v>
      </c>
      <c r="I63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0</v>
      </c>
      <c r="F64" s="12" t="s">
        <v>145</v>
      </c>
      <c r="G64" s="12">
        <v>0</v>
      </c>
      <c r="H64" t="s">
        <v>62</v>
      </c>
      <c r="I64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2</v>
      </c>
      <c r="H65" t="s">
        <v>54</v>
      </c>
      <c r="I65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0</v>
      </c>
      <c r="F66" s="12" t="s">
        <v>145</v>
      </c>
      <c r="G66" s="12">
        <v>0</v>
      </c>
      <c r="H66" t="s">
        <v>65</v>
      </c>
      <c r="I66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1</v>
      </c>
      <c r="H67" t="s">
        <v>59</v>
      </c>
      <c r="I67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0</v>
      </c>
      <c r="H68" t="s">
        <v>88</v>
      </c>
      <c r="I68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1</v>
      </c>
      <c r="F69" s="12" t="s">
        <v>145</v>
      </c>
      <c r="G69" s="12">
        <v>2</v>
      </c>
      <c r="H69" t="s">
        <v>85</v>
      </c>
      <c r="I69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2</v>
      </c>
      <c r="F70" s="12" t="s">
        <v>145</v>
      </c>
      <c r="G70" s="12">
        <v>3</v>
      </c>
      <c r="H70" t="s">
        <v>82</v>
      </c>
      <c r="I70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2</v>
      </c>
      <c r="F71" s="12" t="s">
        <v>145</v>
      </c>
      <c r="G71" s="12">
        <v>2</v>
      </c>
      <c r="H71" t="s">
        <v>91</v>
      </c>
      <c r="I71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0</v>
      </c>
      <c r="F72" s="12" t="s">
        <v>145</v>
      </c>
      <c r="G72" s="12">
        <v>0</v>
      </c>
      <c r="H72" t="s">
        <v>78</v>
      </c>
      <c r="I72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IF(OR(Tabela_33452[[#This Row],[Placar Mandante]]="",Tabela_33452[[#This Row],[Placar Visitante]]="",Tabela_3[[#This Row],[Placar Mandante]]="",Tabela_3[[#This Row],[Placar Visitante]]=""),0,
IF(AND(Tabela_33452[[#This Row],[Placar Mandante]]=Tabela_3[[#This Row],[Placar Mandante]],Tabela_33452[[#This Row],[Placar Visitante]]=Tabela_3[[#This Row],[Placar Visitante]]),3,
IF(SIGN(Tabela_33452[[#This Row],[Placar Mandante]]-Tabela_33452[[#This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B4B-BF44-4055-BE18-B6C504E16CA2}">
  <dimension ref="A1:K73"/>
  <sheetViews>
    <sheetView topLeftCell="B1" zoomScaleNormal="100" workbookViewId="0">
      <selection activeCell="H75" sqref="H75"/>
    </sheetView>
  </sheetViews>
  <sheetFormatPr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0.2187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3</v>
      </c>
      <c r="F2" s="12" t="s">
        <v>145</v>
      </c>
      <c r="G2" s="12">
        <v>0</v>
      </c>
      <c r="H2" t="s">
        <v>7</v>
      </c>
      <c r="I2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  <c r="J2" s="13"/>
      <c r="K2" s="3">
        <f>SUM(Tabela_33453[Pontuação])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0</v>
      </c>
      <c r="F3" s="12" t="s">
        <v>145</v>
      </c>
      <c r="G3" s="12">
        <v>0</v>
      </c>
      <c r="H3" t="s">
        <v>12</v>
      </c>
      <c r="I3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1</v>
      </c>
      <c r="H4" t="s">
        <v>16</v>
      </c>
      <c r="I4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2</v>
      </c>
      <c r="F5" s="12" t="s">
        <v>145</v>
      </c>
      <c r="G5" s="12">
        <v>0</v>
      </c>
      <c r="H5" t="s">
        <v>20</v>
      </c>
      <c r="I5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3</v>
      </c>
      <c r="H6" t="s">
        <v>24</v>
      </c>
      <c r="I6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2</v>
      </c>
      <c r="H7" t="s">
        <v>28</v>
      </c>
      <c r="I7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1</v>
      </c>
      <c r="H8" t="s">
        <v>32</v>
      </c>
      <c r="I8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2</v>
      </c>
      <c r="H9" t="s">
        <v>35</v>
      </c>
      <c r="I9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6</v>
      </c>
      <c r="F10" s="12" t="s">
        <v>145</v>
      </c>
      <c r="G10" s="12">
        <v>0</v>
      </c>
      <c r="H10" t="s">
        <v>40</v>
      </c>
      <c r="I10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0</v>
      </c>
      <c r="H11" t="s">
        <v>44</v>
      </c>
      <c r="I11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1</v>
      </c>
      <c r="H12" t="s">
        <v>48</v>
      </c>
      <c r="I12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4</v>
      </c>
      <c r="H13" t="s">
        <v>52</v>
      </c>
      <c r="I13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7</v>
      </c>
      <c r="F14" s="12" t="s">
        <v>145</v>
      </c>
      <c r="G14" s="12">
        <v>0</v>
      </c>
      <c r="H14" t="s">
        <v>55</v>
      </c>
      <c r="I14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0</v>
      </c>
      <c r="H15" t="s">
        <v>60</v>
      </c>
      <c r="I15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1</v>
      </c>
      <c r="F16" s="12" t="s">
        <v>145</v>
      </c>
      <c r="G16" s="12">
        <v>3</v>
      </c>
      <c r="H16" t="s">
        <v>63</v>
      </c>
      <c r="I16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1</v>
      </c>
      <c r="H17" t="s">
        <v>66</v>
      </c>
      <c r="I17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1</v>
      </c>
      <c r="H18" t="s">
        <v>69</v>
      </c>
      <c r="I18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3</v>
      </c>
      <c r="H19" t="s">
        <v>73</v>
      </c>
      <c r="I19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1</v>
      </c>
      <c r="H20" t="s">
        <v>76</v>
      </c>
      <c r="I20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1</v>
      </c>
      <c r="F21" s="12" t="s">
        <v>145</v>
      </c>
      <c r="G21" s="12">
        <v>0</v>
      </c>
      <c r="H21" t="s">
        <v>79</v>
      </c>
      <c r="I21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5</v>
      </c>
      <c r="F22" s="12" t="s">
        <v>145</v>
      </c>
      <c r="G22" s="12">
        <v>0</v>
      </c>
      <c r="H22" t="s">
        <v>83</v>
      </c>
      <c r="I22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3</v>
      </c>
      <c r="F23" s="12" t="s">
        <v>145</v>
      </c>
      <c r="G23" s="12">
        <v>0</v>
      </c>
      <c r="H23" t="s">
        <v>86</v>
      </c>
      <c r="I23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1</v>
      </c>
      <c r="F24" s="12" t="s">
        <v>145</v>
      </c>
      <c r="G24" s="12">
        <v>2</v>
      </c>
      <c r="H24" t="s">
        <v>89</v>
      </c>
      <c r="I24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1</v>
      </c>
      <c r="H25" t="s">
        <v>92</v>
      </c>
      <c r="I25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0</v>
      </c>
      <c r="H26" t="s">
        <v>7</v>
      </c>
      <c r="I26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1</v>
      </c>
      <c r="F27" s="12" t="s">
        <v>145</v>
      </c>
      <c r="G27" s="12">
        <v>0</v>
      </c>
      <c r="H27" t="s">
        <v>16</v>
      </c>
      <c r="I27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3</v>
      </c>
      <c r="F28" s="12" t="s">
        <v>145</v>
      </c>
      <c r="G28" s="12">
        <v>0</v>
      </c>
      <c r="H28" t="s">
        <v>23</v>
      </c>
      <c r="I28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3</v>
      </c>
      <c r="F30" s="12" t="s">
        <v>145</v>
      </c>
      <c r="G30" s="12">
        <v>0</v>
      </c>
      <c r="H30" t="s">
        <v>34</v>
      </c>
      <c r="I30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3</v>
      </c>
      <c r="H31" t="s">
        <v>28</v>
      </c>
      <c r="I31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0</v>
      </c>
      <c r="H32" t="s">
        <v>31</v>
      </c>
      <c r="I32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0</v>
      </c>
      <c r="F33" s="12" t="s">
        <v>145</v>
      </c>
      <c r="G33" s="12">
        <v>0</v>
      </c>
      <c r="H33" t="s">
        <v>20</v>
      </c>
      <c r="I33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3</v>
      </c>
      <c r="F34" s="12" t="s">
        <v>145</v>
      </c>
      <c r="G34" s="12">
        <v>0</v>
      </c>
      <c r="H34" t="s">
        <v>51</v>
      </c>
      <c r="I34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6</v>
      </c>
      <c r="F35" s="12" t="s">
        <v>145</v>
      </c>
      <c r="G35" s="12">
        <v>0</v>
      </c>
      <c r="H35" t="s">
        <v>47</v>
      </c>
      <c r="I35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4</v>
      </c>
      <c r="F36" s="12" t="s">
        <v>145</v>
      </c>
      <c r="G36" s="12">
        <v>0</v>
      </c>
      <c r="H36" t="s">
        <v>40</v>
      </c>
      <c r="I36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2</v>
      </c>
      <c r="F37" s="12" t="s">
        <v>145</v>
      </c>
      <c r="G37" s="12">
        <v>2</v>
      </c>
      <c r="H37" t="s">
        <v>44</v>
      </c>
      <c r="I37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6</v>
      </c>
      <c r="F38" s="12" t="s">
        <v>145</v>
      </c>
      <c r="G38" s="12">
        <v>0</v>
      </c>
      <c r="H38" t="s">
        <v>62</v>
      </c>
      <c r="I38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4</v>
      </c>
      <c r="F39" s="12" t="s">
        <v>145</v>
      </c>
      <c r="G39" s="12">
        <v>0</v>
      </c>
      <c r="H39" t="s">
        <v>65</v>
      </c>
      <c r="I39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5</v>
      </c>
      <c r="F40" s="12" t="s">
        <v>145</v>
      </c>
      <c r="G40" s="12">
        <v>0</v>
      </c>
      <c r="H40" t="s">
        <v>55</v>
      </c>
      <c r="I40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3</v>
      </c>
      <c r="H41" t="s">
        <v>60</v>
      </c>
      <c r="I41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0</v>
      </c>
      <c r="F42" s="12" t="s">
        <v>145</v>
      </c>
      <c r="G42" s="12">
        <v>0</v>
      </c>
      <c r="H42" t="s">
        <v>78</v>
      </c>
      <c r="I42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6</v>
      </c>
      <c r="F43" s="12" t="s">
        <v>145</v>
      </c>
      <c r="G43" s="12">
        <v>0</v>
      </c>
      <c r="H43" t="s">
        <v>72</v>
      </c>
      <c r="I43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3</v>
      </c>
      <c r="H44" t="s">
        <v>69</v>
      </c>
      <c r="I44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2</v>
      </c>
      <c r="H45" t="s">
        <v>76</v>
      </c>
      <c r="I45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6</v>
      </c>
      <c r="F46" s="12" t="s">
        <v>145</v>
      </c>
      <c r="G46" s="12">
        <v>0</v>
      </c>
      <c r="H46" t="s">
        <v>91</v>
      </c>
      <c r="I46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0</v>
      </c>
      <c r="H47" t="s">
        <v>88</v>
      </c>
      <c r="I47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3</v>
      </c>
      <c r="H48" t="s">
        <v>86</v>
      </c>
      <c r="I48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3</v>
      </c>
      <c r="F49" s="12" t="s">
        <v>145</v>
      </c>
      <c r="G49" s="12">
        <v>0</v>
      </c>
      <c r="H49" t="s">
        <v>83</v>
      </c>
      <c r="I49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3</v>
      </c>
      <c r="F50" s="12" t="s">
        <v>145</v>
      </c>
      <c r="G50" s="12">
        <v>0</v>
      </c>
      <c r="H50" t="s">
        <v>23</v>
      </c>
      <c r="I50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0</v>
      </c>
      <c r="F51" s="12" t="s">
        <v>145</v>
      </c>
      <c r="G51" s="12">
        <v>0</v>
      </c>
      <c r="H51" t="s">
        <v>15</v>
      </c>
      <c r="I51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3</v>
      </c>
      <c r="H52" t="s">
        <v>27</v>
      </c>
      <c r="I52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0</v>
      </c>
      <c r="H53" t="s">
        <v>31</v>
      </c>
      <c r="I53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2</v>
      </c>
      <c r="H54" t="s">
        <v>11</v>
      </c>
      <c r="I54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0</v>
      </c>
      <c r="F55" s="12" t="s">
        <v>145</v>
      </c>
      <c r="G55" s="12">
        <v>1</v>
      </c>
      <c r="H55" t="s">
        <v>6</v>
      </c>
      <c r="I55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5</v>
      </c>
      <c r="H56" t="s">
        <v>47</v>
      </c>
      <c r="I56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2</v>
      </c>
      <c r="F57" s="12" t="s">
        <v>145</v>
      </c>
      <c r="G57" s="12">
        <v>2</v>
      </c>
      <c r="H57" t="s">
        <v>39</v>
      </c>
      <c r="I57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1</v>
      </c>
      <c r="H58" t="s">
        <v>51</v>
      </c>
      <c r="I58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2</v>
      </c>
      <c r="H59" t="s">
        <v>43</v>
      </c>
      <c r="I59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2</v>
      </c>
      <c r="F60" s="12" t="s">
        <v>145</v>
      </c>
      <c r="G60" s="12">
        <v>0</v>
      </c>
      <c r="H60" t="s">
        <v>34</v>
      </c>
      <c r="I60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3</v>
      </c>
      <c r="H61" t="s">
        <v>19</v>
      </c>
      <c r="I61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0</v>
      </c>
      <c r="F62" s="12" t="s">
        <v>145</v>
      </c>
      <c r="G62" s="12">
        <v>4</v>
      </c>
      <c r="H62" t="s">
        <v>68</v>
      </c>
      <c r="I62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4</v>
      </c>
      <c r="F63" s="12" t="s">
        <v>145</v>
      </c>
      <c r="G63" s="12">
        <v>0</v>
      </c>
      <c r="H63" t="s">
        <v>72</v>
      </c>
      <c r="I63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0</v>
      </c>
      <c r="F64" s="12" t="s">
        <v>145</v>
      </c>
      <c r="G64" s="12">
        <v>3</v>
      </c>
      <c r="H64" t="s">
        <v>62</v>
      </c>
      <c r="I64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3</v>
      </c>
      <c r="H65" t="s">
        <v>54</v>
      </c>
      <c r="I65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4</v>
      </c>
      <c r="F66" s="12" t="s">
        <v>145</v>
      </c>
      <c r="G66" s="12">
        <v>1</v>
      </c>
      <c r="H66" t="s">
        <v>65</v>
      </c>
      <c r="I66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4</v>
      </c>
      <c r="H67" t="s">
        <v>59</v>
      </c>
      <c r="I67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3</v>
      </c>
      <c r="F68" s="12" t="s">
        <v>145</v>
      </c>
      <c r="G68" s="12">
        <v>0</v>
      </c>
      <c r="H68" t="s">
        <v>88</v>
      </c>
      <c r="I68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4</v>
      </c>
      <c r="H69" t="s">
        <v>85</v>
      </c>
      <c r="I69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0</v>
      </c>
      <c r="F70" s="12" t="s">
        <v>145</v>
      </c>
      <c r="G70" s="12">
        <v>3</v>
      </c>
      <c r="H70" t="s">
        <v>82</v>
      </c>
      <c r="I70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3</v>
      </c>
      <c r="H71" t="s">
        <v>91</v>
      </c>
      <c r="I71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2</v>
      </c>
      <c r="F72" s="12" t="s">
        <v>145</v>
      </c>
      <c r="G72" s="12">
        <v>0</v>
      </c>
      <c r="H72" t="s">
        <v>78</v>
      </c>
      <c r="I72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5</v>
      </c>
      <c r="H73" t="s">
        <v>75</v>
      </c>
      <c r="I73" s="12">
        <f>IF(OR(Tabela_33453[[#This Row],[Placar Mandante]]="",Tabela_33453[[#This Row],[Placar Visitante]]="",Tabela_3[[#This Row],[Placar Mandante]]="",Tabela_3[[#This Row],[Placar Visitante]]=""),0,
IF(AND(Tabela_33453[[#This Row],[Placar Mandante]]=Tabela_3[[#This Row],[Placar Mandante]],Tabela_33453[[#This Row],[Placar Visitante]]=Tabela_3[[#This Row],[Placar Visitante]]),3,
IF(SIGN(Tabela_33453[[#This Row],[Placar Mandante]]-Tabela_33453[[#This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8B4E-8CD7-4DFC-9573-2D5CF2899402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2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1</v>
      </c>
      <c r="F2" s="12" t="s">
        <v>145</v>
      </c>
      <c r="G2" s="12">
        <v>0</v>
      </c>
      <c r="H2" t="s">
        <v>7</v>
      </c>
      <c r="I2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  <c r="J2" s="13"/>
      <c r="K2" s="3">
        <f>SUM(Tabela_33454[Pontuação])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1</v>
      </c>
      <c r="H3" t="s">
        <v>12</v>
      </c>
      <c r="I3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0</v>
      </c>
      <c r="F4" s="12" t="s">
        <v>145</v>
      </c>
      <c r="G4" s="12">
        <v>1</v>
      </c>
      <c r="H4" t="s">
        <v>16</v>
      </c>
      <c r="I4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1</v>
      </c>
      <c r="H5" t="s">
        <v>20</v>
      </c>
      <c r="I5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0</v>
      </c>
      <c r="H7" t="s">
        <v>28</v>
      </c>
      <c r="I7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3</v>
      </c>
      <c r="H8" t="s">
        <v>32</v>
      </c>
      <c r="I8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0</v>
      </c>
      <c r="F9" s="12" t="s">
        <v>145</v>
      </c>
      <c r="G9" s="12">
        <v>2</v>
      </c>
      <c r="H9" t="s">
        <v>35</v>
      </c>
      <c r="I9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5</v>
      </c>
      <c r="F10" s="12" t="s">
        <v>145</v>
      </c>
      <c r="G10" s="12">
        <v>0</v>
      </c>
      <c r="H10" t="s">
        <v>40</v>
      </c>
      <c r="I10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0</v>
      </c>
      <c r="F11" s="12" t="s">
        <v>145</v>
      </c>
      <c r="G11" s="12">
        <v>3</v>
      </c>
      <c r="H11" t="s">
        <v>44</v>
      </c>
      <c r="I11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2</v>
      </c>
      <c r="F12" s="12" t="s">
        <v>145</v>
      </c>
      <c r="G12" s="12">
        <v>1</v>
      </c>
      <c r="H12" t="s">
        <v>48</v>
      </c>
      <c r="I12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2</v>
      </c>
      <c r="F13" s="12" t="s">
        <v>145</v>
      </c>
      <c r="G13" s="12">
        <v>0</v>
      </c>
      <c r="H13" t="s">
        <v>52</v>
      </c>
      <c r="I13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4</v>
      </c>
      <c r="F14" s="12" t="s">
        <v>145</v>
      </c>
      <c r="G14" s="12">
        <v>0</v>
      </c>
      <c r="H14" t="s">
        <v>55</v>
      </c>
      <c r="I14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1</v>
      </c>
      <c r="F15" s="12" t="s">
        <v>145</v>
      </c>
      <c r="G15" s="12">
        <v>1</v>
      </c>
      <c r="H15" t="s">
        <v>60</v>
      </c>
      <c r="I15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1</v>
      </c>
      <c r="H17" t="s">
        <v>66</v>
      </c>
      <c r="I17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0</v>
      </c>
      <c r="H18" t="s">
        <v>69</v>
      </c>
      <c r="I18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2</v>
      </c>
      <c r="H19" t="s">
        <v>73</v>
      </c>
      <c r="I19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2</v>
      </c>
      <c r="F20" s="12" t="s">
        <v>145</v>
      </c>
      <c r="G20" s="12">
        <v>0</v>
      </c>
      <c r="H20" t="s">
        <v>76</v>
      </c>
      <c r="I20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0</v>
      </c>
      <c r="F21" s="12" t="s">
        <v>145</v>
      </c>
      <c r="G21" s="12">
        <v>0</v>
      </c>
      <c r="H21" t="s">
        <v>79</v>
      </c>
      <c r="I21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0</v>
      </c>
      <c r="H22" t="s">
        <v>83</v>
      </c>
      <c r="I22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1</v>
      </c>
      <c r="F23" s="12" t="s">
        <v>145</v>
      </c>
      <c r="G23" s="12">
        <v>1</v>
      </c>
      <c r="H23" t="s">
        <v>86</v>
      </c>
      <c r="I23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1</v>
      </c>
      <c r="F24" s="12" t="s">
        <v>145</v>
      </c>
      <c r="G24" s="12">
        <v>0</v>
      </c>
      <c r="H24" t="s">
        <v>89</v>
      </c>
      <c r="I24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1</v>
      </c>
      <c r="F26" s="12" t="s">
        <v>145</v>
      </c>
      <c r="G26" s="12">
        <v>1</v>
      </c>
      <c r="H26" t="s">
        <v>7</v>
      </c>
      <c r="I26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0</v>
      </c>
      <c r="H27" t="s">
        <v>16</v>
      </c>
      <c r="I27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0</v>
      </c>
      <c r="F28" s="12" t="s">
        <v>145</v>
      </c>
      <c r="G28" s="12">
        <v>0</v>
      </c>
      <c r="H28" t="s">
        <v>23</v>
      </c>
      <c r="I28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1</v>
      </c>
      <c r="F29" s="12" t="s">
        <v>145</v>
      </c>
      <c r="G29" s="12">
        <v>1</v>
      </c>
      <c r="H29" t="s">
        <v>11</v>
      </c>
      <c r="I29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1</v>
      </c>
      <c r="F30" s="12" t="s">
        <v>145</v>
      </c>
      <c r="G30" s="12">
        <v>0</v>
      </c>
      <c r="H30" t="s">
        <v>34</v>
      </c>
      <c r="I30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0</v>
      </c>
      <c r="F31" s="12" t="s">
        <v>145</v>
      </c>
      <c r="G31" s="12">
        <v>2</v>
      </c>
      <c r="H31" t="s">
        <v>28</v>
      </c>
      <c r="I31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5</v>
      </c>
      <c r="F32" s="12" t="s">
        <v>145</v>
      </c>
      <c r="G32" s="12">
        <v>0</v>
      </c>
      <c r="H32" t="s">
        <v>31</v>
      </c>
      <c r="I32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1</v>
      </c>
      <c r="H33" t="s">
        <v>20</v>
      </c>
      <c r="I33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0</v>
      </c>
      <c r="F34" s="12" t="s">
        <v>145</v>
      </c>
      <c r="G34" s="12">
        <v>2</v>
      </c>
      <c r="H34" t="s">
        <v>51</v>
      </c>
      <c r="I34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1</v>
      </c>
      <c r="H35" t="s">
        <v>47</v>
      </c>
      <c r="I35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0</v>
      </c>
      <c r="H36" t="s">
        <v>40</v>
      </c>
      <c r="I36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0</v>
      </c>
      <c r="F37" s="12" t="s">
        <v>145</v>
      </c>
      <c r="G37" s="12">
        <v>2</v>
      </c>
      <c r="H37" t="s">
        <v>44</v>
      </c>
      <c r="I37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0</v>
      </c>
      <c r="H38" t="s">
        <v>62</v>
      </c>
      <c r="I38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1</v>
      </c>
      <c r="H39" t="s">
        <v>65</v>
      </c>
      <c r="I39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1</v>
      </c>
      <c r="H40" t="s">
        <v>55</v>
      </c>
      <c r="I40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1</v>
      </c>
      <c r="H41" t="s">
        <v>60</v>
      </c>
      <c r="I41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1</v>
      </c>
      <c r="H42" t="s">
        <v>78</v>
      </c>
      <c r="I42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4</v>
      </c>
      <c r="F43" s="12" t="s">
        <v>145</v>
      </c>
      <c r="G43" s="12">
        <v>0</v>
      </c>
      <c r="H43" t="s">
        <v>72</v>
      </c>
      <c r="I43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1</v>
      </c>
      <c r="H44" t="s">
        <v>69</v>
      </c>
      <c r="I44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2</v>
      </c>
      <c r="H45" t="s">
        <v>76</v>
      </c>
      <c r="I45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0</v>
      </c>
      <c r="H46" t="s">
        <v>91</v>
      </c>
      <c r="I46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0</v>
      </c>
      <c r="H47" t="s">
        <v>88</v>
      </c>
      <c r="I47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3</v>
      </c>
      <c r="H48" t="s">
        <v>86</v>
      </c>
      <c r="I48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3</v>
      </c>
      <c r="F49" s="12" t="s">
        <v>145</v>
      </c>
      <c r="G49" s="12">
        <v>0</v>
      </c>
      <c r="H49" t="s">
        <v>83</v>
      </c>
      <c r="I49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2</v>
      </c>
      <c r="F50" s="12" t="s">
        <v>145</v>
      </c>
      <c r="G50" s="12">
        <v>0</v>
      </c>
      <c r="H50" t="s">
        <v>23</v>
      </c>
      <c r="I50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2</v>
      </c>
      <c r="F51" s="12" t="s">
        <v>145</v>
      </c>
      <c r="G51" s="12">
        <v>0</v>
      </c>
      <c r="H51" t="s">
        <v>15</v>
      </c>
      <c r="I51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3</v>
      </c>
      <c r="H52" t="s">
        <v>27</v>
      </c>
      <c r="I52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0</v>
      </c>
      <c r="H53" t="s">
        <v>31</v>
      </c>
      <c r="I53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0</v>
      </c>
      <c r="F54" s="12" t="s">
        <v>145</v>
      </c>
      <c r="G54" s="12">
        <v>2</v>
      </c>
      <c r="H54" t="s">
        <v>11</v>
      </c>
      <c r="I54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2</v>
      </c>
      <c r="H55" t="s">
        <v>6</v>
      </c>
      <c r="I55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2</v>
      </c>
      <c r="H56" t="s">
        <v>47</v>
      </c>
      <c r="I56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2</v>
      </c>
      <c r="H57" t="s">
        <v>39</v>
      </c>
      <c r="I57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2</v>
      </c>
      <c r="H58" t="s">
        <v>51</v>
      </c>
      <c r="I58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0</v>
      </c>
      <c r="H59" t="s">
        <v>43</v>
      </c>
      <c r="I59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0</v>
      </c>
      <c r="H60" t="s">
        <v>34</v>
      </c>
      <c r="I60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1</v>
      </c>
      <c r="H61" t="s">
        <v>19</v>
      </c>
      <c r="I61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0</v>
      </c>
      <c r="F62" s="12" t="s">
        <v>145</v>
      </c>
      <c r="G62" s="12">
        <v>2</v>
      </c>
      <c r="H62" t="s">
        <v>68</v>
      </c>
      <c r="I62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3</v>
      </c>
      <c r="F63" s="12" t="s">
        <v>145</v>
      </c>
      <c r="G63" s="12">
        <v>1</v>
      </c>
      <c r="H63" t="s">
        <v>72</v>
      </c>
      <c r="I63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2</v>
      </c>
      <c r="H64" t="s">
        <v>62</v>
      </c>
      <c r="I64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1</v>
      </c>
      <c r="H65" t="s">
        <v>54</v>
      </c>
      <c r="I65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2</v>
      </c>
      <c r="F66" s="12" t="s">
        <v>145</v>
      </c>
      <c r="G66" s="12">
        <v>0</v>
      </c>
      <c r="H66" t="s">
        <v>65</v>
      </c>
      <c r="I66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2</v>
      </c>
      <c r="H67" t="s">
        <v>59</v>
      </c>
      <c r="I67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0</v>
      </c>
      <c r="H68" t="s">
        <v>88</v>
      </c>
      <c r="I68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1</v>
      </c>
      <c r="H70" t="s">
        <v>82</v>
      </c>
      <c r="I70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0</v>
      </c>
      <c r="F71" s="12" t="s">
        <v>145</v>
      </c>
      <c r="G71" s="12">
        <v>0</v>
      </c>
      <c r="H71" t="s">
        <v>91</v>
      </c>
      <c r="I71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IF(OR(Tabela_33454[[#This Row],[Placar Mandante]]="",Tabela_33454[[#This Row],[Placar Visitante]]="",Tabela_3[[#This Row],[Placar Mandante]]="",Tabela_3[[#This Row],[Placar Visitante]]=""),0,
IF(AND(Tabela_33454[[#This Row],[Placar Mandante]]=Tabela_3[[#This Row],[Placar Mandante]],Tabela_33454[[#This Row],[Placar Visitante]]=Tabela_3[[#This Row],[Placar Visitante]]),3,
IF(SIGN(Tabela_33454[[#This Row],[Placar Mandante]]-Tabela_33454[[#This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90B44-9103-47F8-8AD9-91369B449DC8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1.8867187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3</v>
      </c>
      <c r="F2" s="12" t="s">
        <v>145</v>
      </c>
      <c r="G2" s="12">
        <v>1</v>
      </c>
      <c r="H2" t="s">
        <v>7</v>
      </c>
      <c r="I2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  <c r="J2" s="13"/>
      <c r="K2" s="3">
        <f>SUM(Tabela_33455[Pontuação])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2</v>
      </c>
      <c r="F3" s="12" t="s">
        <v>145</v>
      </c>
      <c r="G3" s="12">
        <v>1</v>
      </c>
      <c r="H3" t="s">
        <v>12</v>
      </c>
      <c r="I3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0</v>
      </c>
      <c r="H4" t="s">
        <v>16</v>
      </c>
      <c r="I4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2</v>
      </c>
      <c r="F5" s="12" t="s">
        <v>145</v>
      </c>
      <c r="G5" s="12">
        <v>2</v>
      </c>
      <c r="H5" t="s">
        <v>20</v>
      </c>
      <c r="I5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3</v>
      </c>
      <c r="F7" s="12" t="s">
        <v>145</v>
      </c>
      <c r="G7" s="12">
        <v>1</v>
      </c>
      <c r="H7" t="s">
        <v>28</v>
      </c>
      <c r="I7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1</v>
      </c>
      <c r="F8" s="12" t="s">
        <v>145</v>
      </c>
      <c r="G8" s="12">
        <v>1</v>
      </c>
      <c r="H8" t="s">
        <v>32</v>
      </c>
      <c r="I8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2</v>
      </c>
      <c r="F9" s="12" t="s">
        <v>145</v>
      </c>
      <c r="G9" s="12">
        <v>1</v>
      </c>
      <c r="H9" t="s">
        <v>35</v>
      </c>
      <c r="I9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3</v>
      </c>
      <c r="F10" s="12" t="s">
        <v>145</v>
      </c>
      <c r="G10" s="12">
        <v>0</v>
      </c>
      <c r="H10" t="s">
        <v>40</v>
      </c>
      <c r="I10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1</v>
      </c>
      <c r="F11" s="12" t="s">
        <v>145</v>
      </c>
      <c r="G11" s="12">
        <v>1</v>
      </c>
      <c r="H11" t="s">
        <v>44</v>
      </c>
      <c r="I11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0</v>
      </c>
      <c r="F12" s="12" t="s">
        <v>145</v>
      </c>
      <c r="G12" s="12">
        <v>2</v>
      </c>
      <c r="H12" t="s">
        <v>48</v>
      </c>
      <c r="I12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2</v>
      </c>
      <c r="F13" s="12" t="s">
        <v>145</v>
      </c>
      <c r="G13" s="12">
        <v>0</v>
      </c>
      <c r="H13" t="s">
        <v>52</v>
      </c>
      <c r="I13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0</v>
      </c>
      <c r="H14" t="s">
        <v>55</v>
      </c>
      <c r="I14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1</v>
      </c>
      <c r="H15" t="s">
        <v>60</v>
      </c>
      <c r="I15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0</v>
      </c>
      <c r="F17" s="12" t="s">
        <v>145</v>
      </c>
      <c r="G17" s="12">
        <v>0</v>
      </c>
      <c r="H17" t="s">
        <v>66</v>
      </c>
      <c r="I17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3</v>
      </c>
      <c r="F18" s="12" t="s">
        <v>145</v>
      </c>
      <c r="G18" s="12">
        <v>1</v>
      </c>
      <c r="H18" t="s">
        <v>69</v>
      </c>
      <c r="I18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1</v>
      </c>
      <c r="F19" s="12" t="s">
        <v>145</v>
      </c>
      <c r="G19" s="12">
        <v>1</v>
      </c>
      <c r="H19" t="s">
        <v>73</v>
      </c>
      <c r="I19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4</v>
      </c>
      <c r="F20" s="12" t="s">
        <v>145</v>
      </c>
      <c r="G20" s="12">
        <v>0</v>
      </c>
      <c r="H20" t="s">
        <v>76</v>
      </c>
      <c r="I20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1</v>
      </c>
      <c r="H21" t="s">
        <v>79</v>
      </c>
      <c r="I21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4</v>
      </c>
      <c r="F22" s="12" t="s">
        <v>145</v>
      </c>
      <c r="G22" s="12">
        <v>0</v>
      </c>
      <c r="H22" t="s">
        <v>83</v>
      </c>
      <c r="I22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1</v>
      </c>
      <c r="H23" t="s">
        <v>86</v>
      </c>
      <c r="I23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1</v>
      </c>
      <c r="F24" s="12" t="s">
        <v>145</v>
      </c>
      <c r="G24" s="12">
        <v>0</v>
      </c>
      <c r="H24" t="s">
        <v>89</v>
      </c>
      <c r="I24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0</v>
      </c>
      <c r="F26" s="12" t="s">
        <v>145</v>
      </c>
      <c r="G26" s="12">
        <v>2</v>
      </c>
      <c r="H26" t="s">
        <v>7</v>
      </c>
      <c r="I26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0</v>
      </c>
      <c r="H27" t="s">
        <v>16</v>
      </c>
      <c r="I27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0</v>
      </c>
      <c r="H28" t="s">
        <v>23</v>
      </c>
      <c r="I28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1</v>
      </c>
      <c r="F29" s="12" t="s">
        <v>145</v>
      </c>
      <c r="G29" s="12">
        <v>1</v>
      </c>
      <c r="H29" t="s">
        <v>11</v>
      </c>
      <c r="I29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0</v>
      </c>
      <c r="H30" t="s">
        <v>34</v>
      </c>
      <c r="I30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0</v>
      </c>
      <c r="F31" s="12" t="s">
        <v>145</v>
      </c>
      <c r="G31" s="12">
        <v>2</v>
      </c>
      <c r="H31" t="s">
        <v>28</v>
      </c>
      <c r="I31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0</v>
      </c>
      <c r="H32" t="s">
        <v>31</v>
      </c>
      <c r="I32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3</v>
      </c>
      <c r="H33" t="s">
        <v>20</v>
      </c>
      <c r="I33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1</v>
      </c>
      <c r="H34" t="s">
        <v>51</v>
      </c>
      <c r="I34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3</v>
      </c>
      <c r="F35" s="12" t="s">
        <v>145</v>
      </c>
      <c r="G35" s="12">
        <v>0</v>
      </c>
      <c r="H35" t="s">
        <v>47</v>
      </c>
      <c r="I35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0</v>
      </c>
      <c r="F37" s="12" t="s">
        <v>145</v>
      </c>
      <c r="G37" s="12">
        <v>2</v>
      </c>
      <c r="H37" t="s">
        <v>44</v>
      </c>
      <c r="I37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0</v>
      </c>
      <c r="H38" t="s">
        <v>62</v>
      </c>
      <c r="I38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0</v>
      </c>
      <c r="H39" t="s">
        <v>65</v>
      </c>
      <c r="I39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2</v>
      </c>
      <c r="F40" s="12" t="s">
        <v>145</v>
      </c>
      <c r="G40" s="12">
        <v>0</v>
      </c>
      <c r="H40" t="s">
        <v>55</v>
      </c>
      <c r="I40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2</v>
      </c>
      <c r="F41" s="12" t="s">
        <v>145</v>
      </c>
      <c r="G41" s="12">
        <v>2</v>
      </c>
      <c r="H41" t="s">
        <v>60</v>
      </c>
      <c r="I41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3</v>
      </c>
      <c r="F42" s="12" t="s">
        <v>145</v>
      </c>
      <c r="G42" s="12">
        <v>1</v>
      </c>
      <c r="H42" t="s">
        <v>78</v>
      </c>
      <c r="I42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2</v>
      </c>
      <c r="H44" t="s">
        <v>69</v>
      </c>
      <c r="I44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1</v>
      </c>
      <c r="H45" t="s">
        <v>76</v>
      </c>
      <c r="I45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0</v>
      </c>
      <c r="H46" t="s">
        <v>91</v>
      </c>
      <c r="I46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1</v>
      </c>
      <c r="H47" t="s">
        <v>88</v>
      </c>
      <c r="I47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3</v>
      </c>
      <c r="F49" s="12" t="s">
        <v>145</v>
      </c>
      <c r="G49" s="12">
        <v>0</v>
      </c>
      <c r="H49" t="s">
        <v>83</v>
      </c>
      <c r="I49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1</v>
      </c>
      <c r="H50" t="s">
        <v>23</v>
      </c>
      <c r="I50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1</v>
      </c>
      <c r="H51" t="s">
        <v>15</v>
      </c>
      <c r="I51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1</v>
      </c>
      <c r="F52" s="12" t="s">
        <v>145</v>
      </c>
      <c r="G52" s="12">
        <v>3</v>
      </c>
      <c r="H52" t="s">
        <v>27</v>
      </c>
      <c r="I52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2</v>
      </c>
      <c r="F53" s="12" t="s">
        <v>145</v>
      </c>
      <c r="G53" s="12">
        <v>0</v>
      </c>
      <c r="H53" t="s">
        <v>31</v>
      </c>
      <c r="I53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2</v>
      </c>
      <c r="H54" t="s">
        <v>11</v>
      </c>
      <c r="I54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0</v>
      </c>
      <c r="F55" s="12" t="s">
        <v>145</v>
      </c>
      <c r="G55" s="12">
        <v>3</v>
      </c>
      <c r="H55" t="s">
        <v>6</v>
      </c>
      <c r="I55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1</v>
      </c>
      <c r="F56" s="12" t="s">
        <v>145</v>
      </c>
      <c r="G56" s="12">
        <v>1</v>
      </c>
      <c r="H56" t="s">
        <v>47</v>
      </c>
      <c r="I56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3</v>
      </c>
      <c r="H57" t="s">
        <v>39</v>
      </c>
      <c r="I57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1</v>
      </c>
      <c r="H58" t="s">
        <v>51</v>
      </c>
      <c r="I58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2</v>
      </c>
      <c r="H59" t="s">
        <v>43</v>
      </c>
      <c r="I59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2</v>
      </c>
      <c r="F60" s="12" t="s">
        <v>145</v>
      </c>
      <c r="G60" s="12">
        <v>0</v>
      </c>
      <c r="H60" t="s">
        <v>34</v>
      </c>
      <c r="I60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0</v>
      </c>
      <c r="F61" s="12" t="s">
        <v>145</v>
      </c>
      <c r="G61" s="12">
        <v>2</v>
      </c>
      <c r="H61" t="s">
        <v>19</v>
      </c>
      <c r="I61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3</v>
      </c>
      <c r="H62" t="s">
        <v>68</v>
      </c>
      <c r="I62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1</v>
      </c>
      <c r="F63" s="12" t="s">
        <v>145</v>
      </c>
      <c r="G63" s="12">
        <v>1</v>
      </c>
      <c r="H63" t="s">
        <v>72</v>
      </c>
      <c r="I63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2</v>
      </c>
      <c r="H64" t="s">
        <v>62</v>
      </c>
      <c r="I64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1</v>
      </c>
      <c r="H65" t="s">
        <v>54</v>
      </c>
      <c r="I65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2</v>
      </c>
      <c r="F66" s="12" t="s">
        <v>145</v>
      </c>
      <c r="G66" s="12">
        <v>0</v>
      </c>
      <c r="H66" t="s">
        <v>65</v>
      </c>
      <c r="I66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2</v>
      </c>
      <c r="H67" t="s">
        <v>59</v>
      </c>
      <c r="I67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1</v>
      </c>
      <c r="H68" t="s">
        <v>88</v>
      </c>
      <c r="I68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2</v>
      </c>
      <c r="H69" t="s">
        <v>85</v>
      </c>
      <c r="I69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2</v>
      </c>
      <c r="H70" t="s">
        <v>82</v>
      </c>
      <c r="I70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0</v>
      </c>
      <c r="F71" s="12" t="s">
        <v>145</v>
      </c>
      <c r="G71" s="12">
        <v>1</v>
      </c>
      <c r="H71" t="s">
        <v>91</v>
      </c>
      <c r="I71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IF(OR(Tabela_33455[[#This Row],[Placar Mandante]]="",Tabela_33455[[#This Row],[Placar Visitante]]="",Tabela_3[[#This Row],[Placar Mandante]]="",Tabela_3[[#This Row],[Placar Visitante]]=""),0,
IF(AND(Tabela_33455[[#This Row],[Placar Mandante]]=Tabela_3[[#This Row],[Placar Mandante]],Tabela_33455[[#This Row],[Placar Visitante]]=Tabela_3[[#This Row],[Placar Visitante]]),3,
IF(SIGN(Tabela_33455[[#This Row],[Placar Mandante]]-Tabela_33455[[#This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pageSetup paperSize="9" orientation="landscape" horizontalDpi="0" verticalDpi="0" r:id="rId1"/>
  <tableParts count="1"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D503-93B0-4B2D-AD29-C1FC8B7982F6}">
  <dimension ref="A1:K73"/>
  <sheetViews>
    <sheetView topLeftCell="B1" zoomScaleNormal="100" workbookViewId="0">
      <selection activeCell="H75" sqref="H75"/>
    </sheetView>
  </sheetViews>
  <sheetFormatPr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 customWidth="1"/>
    <col min="10" max="10" width="11.10937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0</v>
      </c>
      <c r="H2" t="s">
        <v>7</v>
      </c>
      <c r="I2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  <c r="J2" s="13"/>
      <c r="K2" s="3">
        <f>SUM(Tabela_33478[Pontuação])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2</v>
      </c>
      <c r="F3" s="12" t="s">
        <v>145</v>
      </c>
      <c r="G3" s="12">
        <v>2</v>
      </c>
      <c r="H3" t="s">
        <v>12</v>
      </c>
      <c r="I3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1</v>
      </c>
      <c r="H4" t="s">
        <v>16</v>
      </c>
      <c r="I4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2</v>
      </c>
      <c r="F5" s="12" t="s">
        <v>145</v>
      </c>
      <c r="G5" s="12">
        <v>0</v>
      </c>
      <c r="H5" t="s">
        <v>20</v>
      </c>
      <c r="I5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3</v>
      </c>
      <c r="H6" t="s">
        <v>24</v>
      </c>
      <c r="I6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3</v>
      </c>
      <c r="F7" s="12" t="s">
        <v>145</v>
      </c>
      <c r="G7" s="12">
        <v>1</v>
      </c>
      <c r="H7" t="s">
        <v>28</v>
      </c>
      <c r="I7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1</v>
      </c>
      <c r="F8" s="12" t="s">
        <v>145</v>
      </c>
      <c r="G8" s="12">
        <v>2</v>
      </c>
      <c r="H8" t="s">
        <v>32</v>
      </c>
      <c r="I8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2</v>
      </c>
      <c r="H9" t="s">
        <v>35</v>
      </c>
      <c r="I9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3</v>
      </c>
      <c r="F10" s="12" t="s">
        <v>145</v>
      </c>
      <c r="G10" s="12">
        <v>0</v>
      </c>
      <c r="H10" t="s">
        <v>40</v>
      </c>
      <c r="I10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0</v>
      </c>
      <c r="F11" s="12" t="s">
        <v>145</v>
      </c>
      <c r="G11" s="12">
        <v>1</v>
      </c>
      <c r="H11" t="s">
        <v>44</v>
      </c>
      <c r="I11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2</v>
      </c>
      <c r="F12" s="12" t="s">
        <v>145</v>
      </c>
      <c r="G12" s="12">
        <v>2</v>
      </c>
      <c r="H12" t="s">
        <v>48</v>
      </c>
      <c r="I12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2</v>
      </c>
      <c r="F13" s="12" t="s">
        <v>145</v>
      </c>
      <c r="G13" s="12">
        <v>0</v>
      </c>
      <c r="H13" t="s">
        <v>52</v>
      </c>
      <c r="I13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6</v>
      </c>
      <c r="F14" s="12" t="s">
        <v>145</v>
      </c>
      <c r="G14" s="12">
        <v>0</v>
      </c>
      <c r="H14" t="s">
        <v>55</v>
      </c>
      <c r="I14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1</v>
      </c>
      <c r="H15" t="s">
        <v>60</v>
      </c>
      <c r="I15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1</v>
      </c>
      <c r="F16" s="12" t="s">
        <v>145</v>
      </c>
      <c r="G16" s="12">
        <v>3</v>
      </c>
      <c r="H16" t="s">
        <v>63</v>
      </c>
      <c r="I16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0</v>
      </c>
      <c r="F17" s="12" t="s">
        <v>145</v>
      </c>
      <c r="G17" s="12">
        <v>0</v>
      </c>
      <c r="H17" t="s">
        <v>66</v>
      </c>
      <c r="I17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3</v>
      </c>
      <c r="F18" s="12" t="s">
        <v>145</v>
      </c>
      <c r="G18" s="12">
        <v>2</v>
      </c>
      <c r="H18" t="s">
        <v>69</v>
      </c>
      <c r="I18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2</v>
      </c>
      <c r="H19" t="s">
        <v>73</v>
      </c>
      <c r="I19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2</v>
      </c>
      <c r="F20" s="12" t="s">
        <v>145</v>
      </c>
      <c r="G20" s="12">
        <v>0</v>
      </c>
      <c r="H20" t="s">
        <v>76</v>
      </c>
      <c r="I20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1</v>
      </c>
      <c r="H21" t="s">
        <v>79</v>
      </c>
      <c r="I21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4</v>
      </c>
      <c r="F22" s="12" t="s">
        <v>145</v>
      </c>
      <c r="G22" s="12">
        <v>0</v>
      </c>
      <c r="H22" t="s">
        <v>83</v>
      </c>
      <c r="I22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2</v>
      </c>
      <c r="H23" t="s">
        <v>86</v>
      </c>
      <c r="I23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1</v>
      </c>
      <c r="F24" s="12" t="s">
        <v>145</v>
      </c>
      <c r="G24" s="12">
        <v>0</v>
      </c>
      <c r="H24" t="s">
        <v>89</v>
      </c>
      <c r="I24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1</v>
      </c>
      <c r="F25" s="12" t="s">
        <v>145</v>
      </c>
      <c r="G25" s="12">
        <v>1</v>
      </c>
      <c r="H25" t="s">
        <v>92</v>
      </c>
      <c r="I25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0</v>
      </c>
      <c r="F26" s="12" t="s">
        <v>145</v>
      </c>
      <c r="G26" s="12">
        <v>0</v>
      </c>
      <c r="H26" t="s">
        <v>7</v>
      </c>
      <c r="I26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1</v>
      </c>
      <c r="F27" s="12" t="s">
        <v>145</v>
      </c>
      <c r="G27" s="12">
        <v>0</v>
      </c>
      <c r="H27" t="s">
        <v>16</v>
      </c>
      <c r="I27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3</v>
      </c>
      <c r="F28" s="12" t="s">
        <v>145</v>
      </c>
      <c r="G28" s="12">
        <v>1</v>
      </c>
      <c r="H28" t="s">
        <v>23</v>
      </c>
      <c r="I28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1</v>
      </c>
      <c r="H30" t="s">
        <v>34</v>
      </c>
      <c r="I30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2</v>
      </c>
      <c r="H31" t="s">
        <v>28</v>
      </c>
      <c r="I31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5</v>
      </c>
      <c r="F32" s="12" t="s">
        <v>145</v>
      </c>
      <c r="G32" s="12">
        <v>1</v>
      </c>
      <c r="H32" t="s">
        <v>31</v>
      </c>
      <c r="I32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3</v>
      </c>
      <c r="F33" s="12" t="s">
        <v>145</v>
      </c>
      <c r="G33" s="12">
        <v>2</v>
      </c>
      <c r="H33" t="s">
        <v>20</v>
      </c>
      <c r="I33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1</v>
      </c>
      <c r="F34" s="12" t="s">
        <v>145</v>
      </c>
      <c r="G34" s="12">
        <v>1</v>
      </c>
      <c r="H34" t="s">
        <v>51</v>
      </c>
      <c r="I34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0</v>
      </c>
      <c r="H35" t="s">
        <v>47</v>
      </c>
      <c r="I35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1</v>
      </c>
      <c r="H36" t="s">
        <v>40</v>
      </c>
      <c r="I36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3</v>
      </c>
      <c r="H37" t="s">
        <v>44</v>
      </c>
      <c r="I37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0</v>
      </c>
      <c r="H38" t="s">
        <v>62</v>
      </c>
      <c r="I38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3</v>
      </c>
      <c r="F39" s="12" t="s">
        <v>145</v>
      </c>
      <c r="G39" s="12">
        <v>0</v>
      </c>
      <c r="H39" t="s">
        <v>65</v>
      </c>
      <c r="I39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2</v>
      </c>
      <c r="F40" s="12" t="s">
        <v>145</v>
      </c>
      <c r="G40" s="12">
        <v>1</v>
      </c>
      <c r="H40" t="s">
        <v>55</v>
      </c>
      <c r="I40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0</v>
      </c>
      <c r="H41" t="s">
        <v>60</v>
      </c>
      <c r="I41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1</v>
      </c>
      <c r="H42" t="s">
        <v>78</v>
      </c>
      <c r="I42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7</v>
      </c>
      <c r="F43" s="12" t="s">
        <v>145</v>
      </c>
      <c r="G43" s="12">
        <v>0</v>
      </c>
      <c r="H43" t="s">
        <v>72</v>
      </c>
      <c r="I43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2</v>
      </c>
      <c r="H44" t="s">
        <v>69</v>
      </c>
      <c r="I44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1</v>
      </c>
      <c r="H45" t="s">
        <v>76</v>
      </c>
      <c r="I45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2</v>
      </c>
      <c r="F46" s="12" t="s">
        <v>145</v>
      </c>
      <c r="G46" s="12">
        <v>0</v>
      </c>
      <c r="H46" t="s">
        <v>91</v>
      </c>
      <c r="I46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3</v>
      </c>
      <c r="F47" s="12" t="s">
        <v>145</v>
      </c>
      <c r="G47" s="12">
        <v>0</v>
      </c>
      <c r="H47" t="s">
        <v>88</v>
      </c>
      <c r="I47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2</v>
      </c>
      <c r="F48" s="12" t="s">
        <v>145</v>
      </c>
      <c r="G48" s="12">
        <v>4</v>
      </c>
      <c r="H48" t="s">
        <v>86</v>
      </c>
      <c r="I48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0</v>
      </c>
      <c r="H49" t="s">
        <v>83</v>
      </c>
      <c r="I49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2</v>
      </c>
      <c r="F50" s="12" t="s">
        <v>145</v>
      </c>
      <c r="G50" s="12">
        <v>1</v>
      </c>
      <c r="H50" t="s">
        <v>23</v>
      </c>
      <c r="I50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2</v>
      </c>
      <c r="F51" s="12" t="s">
        <v>145</v>
      </c>
      <c r="G51" s="12">
        <v>2</v>
      </c>
      <c r="H51" t="s">
        <v>15</v>
      </c>
      <c r="I51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1</v>
      </c>
      <c r="F52" s="12" t="s">
        <v>145</v>
      </c>
      <c r="G52" s="12">
        <v>2</v>
      </c>
      <c r="H52" t="s">
        <v>27</v>
      </c>
      <c r="I52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0</v>
      </c>
      <c r="H53" t="s">
        <v>31</v>
      </c>
      <c r="I53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2</v>
      </c>
      <c r="H54" t="s">
        <v>11</v>
      </c>
      <c r="I54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1</v>
      </c>
      <c r="H55" t="s">
        <v>6</v>
      </c>
      <c r="I55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1</v>
      </c>
      <c r="F56" s="12" t="s">
        <v>145</v>
      </c>
      <c r="G56" s="12">
        <v>1</v>
      </c>
      <c r="H56" t="s">
        <v>47</v>
      </c>
      <c r="I56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2</v>
      </c>
      <c r="F57" s="12" t="s">
        <v>145</v>
      </c>
      <c r="G57" s="12">
        <v>1</v>
      </c>
      <c r="H57" t="s">
        <v>39</v>
      </c>
      <c r="I57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1</v>
      </c>
      <c r="H58" t="s">
        <v>51</v>
      </c>
      <c r="I58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3</v>
      </c>
      <c r="H59" t="s">
        <v>43</v>
      </c>
      <c r="I59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2</v>
      </c>
      <c r="F60" s="12" t="s">
        <v>145</v>
      </c>
      <c r="G60" s="12">
        <v>2</v>
      </c>
      <c r="H60" t="s">
        <v>34</v>
      </c>
      <c r="I60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0</v>
      </c>
      <c r="F61" s="12" t="s">
        <v>145</v>
      </c>
      <c r="G61" s="12">
        <v>0</v>
      </c>
      <c r="H61" t="s">
        <v>19</v>
      </c>
      <c r="I61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2</v>
      </c>
      <c r="F62" s="12" t="s">
        <v>145</v>
      </c>
      <c r="G62" s="12">
        <v>2</v>
      </c>
      <c r="H62" t="s">
        <v>68</v>
      </c>
      <c r="I62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3</v>
      </c>
      <c r="F63" s="12" t="s">
        <v>145</v>
      </c>
      <c r="G63" s="12">
        <v>0</v>
      </c>
      <c r="H63" t="s">
        <v>72</v>
      </c>
      <c r="I63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0</v>
      </c>
      <c r="F64" s="12" t="s">
        <v>145</v>
      </c>
      <c r="G64" s="12">
        <v>1</v>
      </c>
      <c r="H64" t="s">
        <v>62</v>
      </c>
      <c r="I64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0</v>
      </c>
      <c r="F65" s="12" t="s">
        <v>145</v>
      </c>
      <c r="G65" s="12">
        <v>2</v>
      </c>
      <c r="H65" t="s">
        <v>54</v>
      </c>
      <c r="I65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2</v>
      </c>
      <c r="F66" s="12" t="s">
        <v>145</v>
      </c>
      <c r="G66" s="12">
        <v>1</v>
      </c>
      <c r="H66" t="s">
        <v>65</v>
      </c>
      <c r="I66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2</v>
      </c>
      <c r="F67" s="12" t="s">
        <v>145</v>
      </c>
      <c r="G67" s="12">
        <v>2</v>
      </c>
      <c r="H67" t="s">
        <v>59</v>
      </c>
      <c r="I67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1</v>
      </c>
      <c r="H68" t="s">
        <v>88</v>
      </c>
      <c r="I68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4</v>
      </c>
      <c r="H69" t="s">
        <v>85</v>
      </c>
      <c r="I69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3</v>
      </c>
      <c r="F70" s="12" t="s">
        <v>145</v>
      </c>
      <c r="G70" s="12">
        <v>3</v>
      </c>
      <c r="H70" t="s">
        <v>82</v>
      </c>
      <c r="I70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0</v>
      </c>
      <c r="H71" t="s">
        <v>91</v>
      </c>
      <c r="I71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2</v>
      </c>
      <c r="H72" t="s">
        <v>78</v>
      </c>
      <c r="I72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1</v>
      </c>
      <c r="F73" s="12" t="s">
        <v>145</v>
      </c>
      <c r="G73" s="12">
        <v>4</v>
      </c>
      <c r="H73" t="s">
        <v>75</v>
      </c>
      <c r="I73" s="12">
        <f>IF(OR(Tabela_33478[[#This Row],[Placar Mandante]]="",Tabela_33478[[#This Row],[Placar Visitante]]="",Tabela_3[[#This Row],[Placar Mandante]]="",Tabela_3[[#This Row],[Placar Visitante]]=""),0,
IF(AND(Tabela_33478[[#This Row],[Placar Mandante]]=Tabela_3[[#This Row],[Placar Mandante]],Tabela_33478[[#This Row],[Placar Visitante]]=Tabela_3[[#This Row],[Placar Visitante]]),3,
IF(SIGN(Tabela_33478[[#This Row],[Placar Mandante]]-Tabela_33478[[#This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A945-2C17-42E7-9E00-C7AE991B8D56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6640625" style="11" hidden="1" customWidth="1"/>
    <col min="2" max="2" width="10.33203125" style="11" bestFit="1" customWidth="1"/>
    <col min="3" max="3" width="9.44140625" style="11" bestFit="1" customWidth="1"/>
    <col min="4" max="4" width="18.33203125" style="11" bestFit="1" customWidth="1"/>
    <col min="5" max="5" width="18.33203125" style="11" customWidth="1"/>
    <col min="6" max="6" width="4.109375" style="12" bestFit="1" customWidth="1"/>
    <col min="7" max="7" width="18.33203125" style="11" customWidth="1"/>
    <col min="8" max="8" width="18.33203125" style="11" bestFit="1" customWidth="1"/>
    <col min="9" max="9" width="8.88671875" style="11"/>
    <col min="10" max="10" width="11" style="11" customWidth="1"/>
    <col min="11" max="11" width="10.3320312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0</v>
      </c>
      <c r="H2" t="s">
        <v>7</v>
      </c>
      <c r="I2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  <c r="J2" s="13"/>
      <c r="K2" s="3">
        <f>SUM(Tabela_33456[Pontuação])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1</v>
      </c>
      <c r="H3" t="s">
        <v>12</v>
      </c>
      <c r="I3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1</v>
      </c>
      <c r="H4" t="s">
        <v>16</v>
      </c>
      <c r="I4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1</v>
      </c>
      <c r="H5" t="s">
        <v>20</v>
      </c>
      <c r="I5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3</v>
      </c>
      <c r="H6" t="s">
        <v>24</v>
      </c>
      <c r="I6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1</v>
      </c>
      <c r="H7" t="s">
        <v>28</v>
      </c>
      <c r="I7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2</v>
      </c>
      <c r="H8" t="s">
        <v>32</v>
      </c>
      <c r="I8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1</v>
      </c>
      <c r="H9" t="s">
        <v>35</v>
      </c>
      <c r="I9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5</v>
      </c>
      <c r="F10" s="12" t="s">
        <v>145</v>
      </c>
      <c r="G10" s="12">
        <v>0</v>
      </c>
      <c r="H10" t="s">
        <v>40</v>
      </c>
      <c r="I10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1</v>
      </c>
      <c r="H11" t="s">
        <v>44</v>
      </c>
      <c r="I11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1</v>
      </c>
      <c r="H12" t="s">
        <v>48</v>
      </c>
      <c r="I12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0</v>
      </c>
      <c r="H13" t="s">
        <v>52</v>
      </c>
      <c r="I13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0</v>
      </c>
      <c r="H14" t="s">
        <v>55</v>
      </c>
      <c r="I14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1</v>
      </c>
      <c r="H15" t="s">
        <v>60</v>
      </c>
      <c r="I15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1</v>
      </c>
      <c r="F16" s="12" t="s">
        <v>145</v>
      </c>
      <c r="G16" s="12">
        <v>2</v>
      </c>
      <c r="H16" t="s">
        <v>63</v>
      </c>
      <c r="I16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0</v>
      </c>
      <c r="H17" t="s">
        <v>66</v>
      </c>
      <c r="I17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1</v>
      </c>
      <c r="H18" t="s">
        <v>69</v>
      </c>
      <c r="I18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2</v>
      </c>
      <c r="H19" t="s">
        <v>73</v>
      </c>
      <c r="I19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2</v>
      </c>
      <c r="F20" s="12" t="s">
        <v>145</v>
      </c>
      <c r="G20" s="12">
        <v>0</v>
      </c>
      <c r="H20" t="s">
        <v>76</v>
      </c>
      <c r="I20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0</v>
      </c>
      <c r="H21" t="s">
        <v>79</v>
      </c>
      <c r="I21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2</v>
      </c>
      <c r="F22" s="12" t="s">
        <v>145</v>
      </c>
      <c r="G22" s="12">
        <v>0</v>
      </c>
      <c r="H22" t="s">
        <v>83</v>
      </c>
      <c r="I22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0</v>
      </c>
      <c r="H23" t="s">
        <v>86</v>
      </c>
      <c r="I23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1</v>
      </c>
      <c r="F24" s="12" t="s">
        <v>145</v>
      </c>
      <c r="G24" s="12">
        <v>1</v>
      </c>
      <c r="H24" t="s">
        <v>89</v>
      </c>
      <c r="I24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1</v>
      </c>
      <c r="F26" s="12" t="s">
        <v>145</v>
      </c>
      <c r="G26" s="12">
        <v>0</v>
      </c>
      <c r="H26" t="s">
        <v>7</v>
      </c>
      <c r="I26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1</v>
      </c>
      <c r="H27" t="s">
        <v>16</v>
      </c>
      <c r="I27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0</v>
      </c>
      <c r="H28" t="s">
        <v>23</v>
      </c>
      <c r="I28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1</v>
      </c>
      <c r="H30" t="s">
        <v>34</v>
      </c>
      <c r="I30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0</v>
      </c>
      <c r="F31" s="12" t="s">
        <v>145</v>
      </c>
      <c r="G31" s="12">
        <v>2</v>
      </c>
      <c r="H31" t="s">
        <v>28</v>
      </c>
      <c r="I31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0</v>
      </c>
      <c r="H32" t="s">
        <v>31</v>
      </c>
      <c r="I32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1</v>
      </c>
      <c r="H33" t="s">
        <v>20</v>
      </c>
      <c r="I33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1</v>
      </c>
      <c r="H34" t="s">
        <v>51</v>
      </c>
      <c r="I34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1</v>
      </c>
      <c r="H35" t="s">
        <v>47</v>
      </c>
      <c r="I35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0</v>
      </c>
      <c r="H36" t="s">
        <v>40</v>
      </c>
      <c r="I36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0</v>
      </c>
      <c r="F37" s="12" t="s">
        <v>145</v>
      </c>
      <c r="G37" s="12">
        <v>2</v>
      </c>
      <c r="H37" t="s">
        <v>44</v>
      </c>
      <c r="I37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0</v>
      </c>
      <c r="H38" t="s">
        <v>62</v>
      </c>
      <c r="I38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0</v>
      </c>
      <c r="H39" t="s">
        <v>65</v>
      </c>
      <c r="I39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2</v>
      </c>
      <c r="F40" s="12" t="s">
        <v>145</v>
      </c>
      <c r="G40" s="12">
        <v>1</v>
      </c>
      <c r="H40" t="s">
        <v>55</v>
      </c>
      <c r="I40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2</v>
      </c>
      <c r="H41" t="s">
        <v>60</v>
      </c>
      <c r="I41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1</v>
      </c>
      <c r="H42" t="s">
        <v>78</v>
      </c>
      <c r="I42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2</v>
      </c>
      <c r="F44" s="12" t="s">
        <v>145</v>
      </c>
      <c r="G44" s="12">
        <v>1</v>
      </c>
      <c r="H44" t="s">
        <v>69</v>
      </c>
      <c r="I44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2</v>
      </c>
      <c r="H45" t="s">
        <v>76</v>
      </c>
      <c r="I45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0</v>
      </c>
      <c r="H46" t="s">
        <v>91</v>
      </c>
      <c r="I46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1</v>
      </c>
      <c r="H47" t="s">
        <v>88</v>
      </c>
      <c r="I47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0</v>
      </c>
      <c r="H49" t="s">
        <v>83</v>
      </c>
      <c r="I49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2</v>
      </c>
      <c r="F50" s="12" t="s">
        <v>145</v>
      </c>
      <c r="G50" s="12">
        <v>1</v>
      </c>
      <c r="H50" t="s">
        <v>23</v>
      </c>
      <c r="I50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1</v>
      </c>
      <c r="H51" t="s">
        <v>15</v>
      </c>
      <c r="I51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2</v>
      </c>
      <c r="H52" t="s">
        <v>27</v>
      </c>
      <c r="I52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0</v>
      </c>
      <c r="H53" t="s">
        <v>31</v>
      </c>
      <c r="I53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2</v>
      </c>
      <c r="H54" t="s">
        <v>11</v>
      </c>
      <c r="I54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1</v>
      </c>
      <c r="H55" t="s">
        <v>6</v>
      </c>
      <c r="I55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2</v>
      </c>
      <c r="H56" t="s">
        <v>47</v>
      </c>
      <c r="I56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0</v>
      </c>
      <c r="F57" s="12" t="s">
        <v>145</v>
      </c>
      <c r="G57" s="12">
        <v>2</v>
      </c>
      <c r="H57" t="s">
        <v>39</v>
      </c>
      <c r="I57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1</v>
      </c>
      <c r="H58" t="s">
        <v>51</v>
      </c>
      <c r="I58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2</v>
      </c>
      <c r="H59" t="s">
        <v>43</v>
      </c>
      <c r="I59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0</v>
      </c>
      <c r="H60" t="s">
        <v>34</v>
      </c>
      <c r="I60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1</v>
      </c>
      <c r="H61" t="s">
        <v>19</v>
      </c>
      <c r="I61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2</v>
      </c>
      <c r="H62" t="s">
        <v>68</v>
      </c>
      <c r="I62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0</v>
      </c>
      <c r="H63" t="s">
        <v>72</v>
      </c>
      <c r="I63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1</v>
      </c>
      <c r="H64" t="s">
        <v>62</v>
      </c>
      <c r="I64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2</v>
      </c>
      <c r="H65" t="s">
        <v>54</v>
      </c>
      <c r="I65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0</v>
      </c>
      <c r="H66" t="s">
        <v>65</v>
      </c>
      <c r="I66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3</v>
      </c>
      <c r="H67" t="s">
        <v>59</v>
      </c>
      <c r="I67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1</v>
      </c>
      <c r="H68" t="s">
        <v>88</v>
      </c>
      <c r="I68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1</v>
      </c>
      <c r="H70" t="s">
        <v>82</v>
      </c>
      <c r="I70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1</v>
      </c>
      <c r="H71" t="s">
        <v>91</v>
      </c>
      <c r="I71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2</v>
      </c>
      <c r="H73" t="s">
        <v>75</v>
      </c>
      <c r="I73" s="12">
        <f>IF(OR(Tabela_33456[[#This Row],[Placar Mandante]]="",Tabela_33456[[#This Row],[Placar Visitante]]="",Tabela_3[[#This Row],[Placar Mandante]]="",Tabela_3[[#This Row],[Placar Visitante]]=""),0,
IF(AND(Tabela_33456[[#This Row],[Placar Mandante]]=Tabela_3[[#This Row],[Placar Mandante]],Tabela_33456[[#This Row],[Placar Visitante]]=Tabela_3[[#This Row],[Placar Visitante]]),3,
IF(SIGN(Tabela_33456[[#This Row],[Placar Mandante]]-Tabela_33456[[#This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05CA-3BF5-469E-9907-6BE0405ADE0F}">
  <sheetPr codeName="Planilha21"/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2</v>
      </c>
      <c r="F2" s="2" t="s">
        <v>145</v>
      </c>
      <c r="G2" s="12">
        <v>0</v>
      </c>
      <c r="H2" t="s">
        <v>7</v>
      </c>
      <c r="I2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  <c r="K2" s="3">
        <f>SUM(Tabela_3349[Pontuação])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1</v>
      </c>
      <c r="F3" s="2" t="s">
        <v>145</v>
      </c>
      <c r="G3" s="12">
        <v>1</v>
      </c>
      <c r="H3" t="s">
        <v>12</v>
      </c>
      <c r="I3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1</v>
      </c>
      <c r="F4" s="2" t="s">
        <v>145</v>
      </c>
      <c r="G4" s="12">
        <v>1</v>
      </c>
      <c r="H4" t="s">
        <v>16</v>
      </c>
      <c r="I4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2</v>
      </c>
      <c r="F5" s="2" t="s">
        <v>145</v>
      </c>
      <c r="G5" s="12">
        <v>1</v>
      </c>
      <c r="H5" t="s">
        <v>20</v>
      </c>
      <c r="I5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1</v>
      </c>
      <c r="H6" t="s">
        <v>24</v>
      </c>
      <c r="I6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2</v>
      </c>
      <c r="F7" s="2" t="s">
        <v>145</v>
      </c>
      <c r="G7" s="12">
        <v>2</v>
      </c>
      <c r="H7" t="s">
        <v>28</v>
      </c>
      <c r="I7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0</v>
      </c>
      <c r="F8" s="2" t="s">
        <v>145</v>
      </c>
      <c r="G8" s="12">
        <v>2</v>
      </c>
      <c r="H8" t="s">
        <v>32</v>
      </c>
      <c r="I8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0</v>
      </c>
      <c r="F9" s="2" t="s">
        <v>145</v>
      </c>
      <c r="G9" s="12">
        <v>2</v>
      </c>
      <c r="H9" t="s">
        <v>35</v>
      </c>
      <c r="I9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4</v>
      </c>
      <c r="F10" s="2" t="s">
        <v>145</v>
      </c>
      <c r="G10" s="12">
        <v>0</v>
      </c>
      <c r="H10" t="s">
        <v>40</v>
      </c>
      <c r="I10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2</v>
      </c>
      <c r="F11" s="2" t="s">
        <v>145</v>
      </c>
      <c r="G11" s="12">
        <v>1</v>
      </c>
      <c r="H11" t="s">
        <v>44</v>
      </c>
      <c r="I11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1</v>
      </c>
      <c r="F12" s="2" t="s">
        <v>145</v>
      </c>
      <c r="G12" s="12">
        <v>3</v>
      </c>
      <c r="H12" t="s">
        <v>48</v>
      </c>
      <c r="I12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0</v>
      </c>
      <c r="F13" s="2" t="s">
        <v>145</v>
      </c>
      <c r="G13" s="12">
        <v>1</v>
      </c>
      <c r="H13" t="s">
        <v>52</v>
      </c>
      <c r="I13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3</v>
      </c>
      <c r="F14" s="2" t="s">
        <v>145</v>
      </c>
      <c r="G14" s="12">
        <v>0</v>
      </c>
      <c r="H14" t="s">
        <v>55</v>
      </c>
      <c r="I14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1</v>
      </c>
      <c r="F15" s="2" t="s">
        <v>145</v>
      </c>
      <c r="G15" s="12">
        <v>0</v>
      </c>
      <c r="H15" t="s">
        <v>60</v>
      </c>
      <c r="I15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0</v>
      </c>
      <c r="F16" s="2" t="s">
        <v>145</v>
      </c>
      <c r="G16" s="12">
        <v>2</v>
      </c>
      <c r="H16" t="s">
        <v>63</v>
      </c>
      <c r="I16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1</v>
      </c>
      <c r="F17" s="2" t="s">
        <v>145</v>
      </c>
      <c r="G17" s="12">
        <v>1</v>
      </c>
      <c r="H17" t="s">
        <v>66</v>
      </c>
      <c r="I17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2</v>
      </c>
      <c r="F18" s="2" t="s">
        <v>145</v>
      </c>
      <c r="G18" s="12">
        <v>0</v>
      </c>
      <c r="H18" t="s">
        <v>69</v>
      </c>
      <c r="I18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0</v>
      </c>
      <c r="F19" s="2" t="s">
        <v>145</v>
      </c>
      <c r="G19" s="12">
        <v>2</v>
      </c>
      <c r="H19" t="s">
        <v>73</v>
      </c>
      <c r="I19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1</v>
      </c>
      <c r="F20" s="2" t="s">
        <v>145</v>
      </c>
      <c r="G20" s="12">
        <v>0</v>
      </c>
      <c r="H20" t="s">
        <v>76</v>
      </c>
      <c r="I20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2</v>
      </c>
      <c r="F21" s="2" t="s">
        <v>145</v>
      </c>
      <c r="G21" s="12">
        <v>0</v>
      </c>
      <c r="H21" t="s">
        <v>79</v>
      </c>
      <c r="I21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2</v>
      </c>
      <c r="F22" s="2" t="s">
        <v>145</v>
      </c>
      <c r="G22" s="12">
        <v>0</v>
      </c>
      <c r="H22" t="s">
        <v>83</v>
      </c>
      <c r="I22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2</v>
      </c>
      <c r="F23" s="2" t="s">
        <v>145</v>
      </c>
      <c r="G23" s="12">
        <v>1</v>
      </c>
      <c r="H23" t="s">
        <v>86</v>
      </c>
      <c r="I23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3</v>
      </c>
      <c r="F24" s="2" t="s">
        <v>145</v>
      </c>
      <c r="G24" s="12">
        <v>0</v>
      </c>
      <c r="H24" t="s">
        <v>89</v>
      </c>
      <c r="I24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3</v>
      </c>
      <c r="H25" t="s">
        <v>92</v>
      </c>
      <c r="I25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1</v>
      </c>
      <c r="F26" s="2" t="s">
        <v>145</v>
      </c>
      <c r="G26" s="12">
        <v>0</v>
      </c>
      <c r="H26" t="s">
        <v>7</v>
      </c>
      <c r="I26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0</v>
      </c>
      <c r="F27" s="2" t="s">
        <v>145</v>
      </c>
      <c r="G27" s="12">
        <v>0</v>
      </c>
      <c r="H27" t="s">
        <v>16</v>
      </c>
      <c r="I27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1</v>
      </c>
      <c r="F28" s="2" t="s">
        <v>145</v>
      </c>
      <c r="G28" s="12">
        <v>0</v>
      </c>
      <c r="H28" t="s">
        <v>23</v>
      </c>
      <c r="I28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1</v>
      </c>
      <c r="F29" s="2" t="s">
        <v>145</v>
      </c>
      <c r="G29" s="12">
        <v>0</v>
      </c>
      <c r="H29" t="s">
        <v>11</v>
      </c>
      <c r="I29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2</v>
      </c>
      <c r="F30" s="2" t="s">
        <v>145</v>
      </c>
      <c r="G30" s="12">
        <v>0</v>
      </c>
      <c r="H30" t="s">
        <v>34</v>
      </c>
      <c r="I30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0</v>
      </c>
      <c r="F31" s="2" t="s">
        <v>145</v>
      </c>
      <c r="G31" s="12">
        <v>2</v>
      </c>
      <c r="H31" t="s">
        <v>28</v>
      </c>
      <c r="I31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4</v>
      </c>
      <c r="F32" s="2" t="s">
        <v>145</v>
      </c>
      <c r="G32" s="12">
        <v>0</v>
      </c>
      <c r="H32" t="s">
        <v>31</v>
      </c>
      <c r="I32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2</v>
      </c>
      <c r="F33" s="2" t="s">
        <v>145</v>
      </c>
      <c r="G33" s="12">
        <v>0</v>
      </c>
      <c r="H33" t="s">
        <v>20</v>
      </c>
      <c r="I33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1</v>
      </c>
      <c r="F34" s="2" t="s">
        <v>145</v>
      </c>
      <c r="G34" s="12">
        <v>0</v>
      </c>
      <c r="H34" t="s">
        <v>51</v>
      </c>
      <c r="I34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2</v>
      </c>
      <c r="F35" s="2" t="s">
        <v>145</v>
      </c>
      <c r="G35" s="12">
        <v>0</v>
      </c>
      <c r="H35" t="s">
        <v>47</v>
      </c>
      <c r="I35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2</v>
      </c>
      <c r="F36" s="2" t="s">
        <v>145</v>
      </c>
      <c r="G36" s="12">
        <v>0</v>
      </c>
      <c r="H36" t="s">
        <v>40</v>
      </c>
      <c r="I36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1</v>
      </c>
      <c r="F37" s="2" t="s">
        <v>145</v>
      </c>
      <c r="G37" s="12">
        <v>3</v>
      </c>
      <c r="H37" t="s">
        <v>44</v>
      </c>
      <c r="I37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3</v>
      </c>
      <c r="F38" s="2" t="s">
        <v>145</v>
      </c>
      <c r="G38" s="12">
        <v>0</v>
      </c>
      <c r="H38" t="s">
        <v>62</v>
      </c>
      <c r="I38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2</v>
      </c>
      <c r="F39" s="2" t="s">
        <v>145</v>
      </c>
      <c r="G39" s="12">
        <v>0</v>
      </c>
      <c r="H39" t="s">
        <v>65</v>
      </c>
      <c r="I39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3</v>
      </c>
      <c r="F40" s="2" t="s">
        <v>145</v>
      </c>
      <c r="G40" s="12">
        <v>0</v>
      </c>
      <c r="H40" t="s">
        <v>55</v>
      </c>
      <c r="I40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1</v>
      </c>
      <c r="F41" s="2" t="s">
        <v>145</v>
      </c>
      <c r="G41" s="12">
        <v>2</v>
      </c>
      <c r="H41" t="s">
        <v>60</v>
      </c>
      <c r="I41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2</v>
      </c>
      <c r="F42" s="2" t="s">
        <v>145</v>
      </c>
      <c r="G42" s="12">
        <v>1</v>
      </c>
      <c r="H42" t="s">
        <v>78</v>
      </c>
      <c r="I42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4</v>
      </c>
      <c r="F43" s="2" t="s">
        <v>145</v>
      </c>
      <c r="G43" s="12">
        <v>0</v>
      </c>
      <c r="H43" t="s">
        <v>72</v>
      </c>
      <c r="I43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1</v>
      </c>
      <c r="F44" s="2" t="s">
        <v>145</v>
      </c>
      <c r="G44" s="12">
        <v>2</v>
      </c>
      <c r="H44" t="s">
        <v>69</v>
      </c>
      <c r="I44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0</v>
      </c>
      <c r="F45" s="2" t="s">
        <v>145</v>
      </c>
      <c r="G45" s="12">
        <v>2</v>
      </c>
      <c r="H45" t="s">
        <v>76</v>
      </c>
      <c r="I45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3</v>
      </c>
      <c r="F46" s="2" t="s">
        <v>145</v>
      </c>
      <c r="G46" s="12">
        <v>0</v>
      </c>
      <c r="H46" t="s">
        <v>91</v>
      </c>
      <c r="I46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2</v>
      </c>
      <c r="F47" s="2" t="s">
        <v>145</v>
      </c>
      <c r="G47" s="12">
        <v>1</v>
      </c>
      <c r="H47" t="s">
        <v>88</v>
      </c>
      <c r="I47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0</v>
      </c>
      <c r="F48" s="2" t="s">
        <v>145</v>
      </c>
      <c r="G48" s="12">
        <v>2</v>
      </c>
      <c r="H48" t="s">
        <v>86</v>
      </c>
      <c r="I48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3</v>
      </c>
      <c r="F49" s="2" t="s">
        <v>145</v>
      </c>
      <c r="G49" s="12">
        <v>1</v>
      </c>
      <c r="H49" t="s">
        <v>83</v>
      </c>
      <c r="I49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1</v>
      </c>
      <c r="F50" s="2" t="s">
        <v>145</v>
      </c>
      <c r="G50" s="12">
        <v>0</v>
      </c>
      <c r="H50" t="s">
        <v>23</v>
      </c>
      <c r="I50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1</v>
      </c>
      <c r="F51" s="2" t="s">
        <v>145</v>
      </c>
      <c r="G51" s="12">
        <v>0</v>
      </c>
      <c r="H51" t="s">
        <v>15</v>
      </c>
      <c r="I51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0</v>
      </c>
      <c r="F52" s="2" t="s">
        <v>145</v>
      </c>
      <c r="G52" s="12">
        <v>2</v>
      </c>
      <c r="H52" t="s">
        <v>27</v>
      </c>
      <c r="I52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3</v>
      </c>
      <c r="F53" s="2" t="s">
        <v>145</v>
      </c>
      <c r="G53" s="12"/>
      <c r="H53" t="s">
        <v>31</v>
      </c>
      <c r="I53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1</v>
      </c>
      <c r="F54" s="2" t="s">
        <v>145</v>
      </c>
      <c r="G54" s="12">
        <v>1</v>
      </c>
      <c r="H54" t="s">
        <v>11</v>
      </c>
      <c r="I54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1</v>
      </c>
      <c r="F55" s="2" t="s">
        <v>145</v>
      </c>
      <c r="G55" s="12">
        <v>1</v>
      </c>
      <c r="H55" t="s">
        <v>6</v>
      </c>
      <c r="I55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0</v>
      </c>
      <c r="F56" s="2" t="s">
        <v>145</v>
      </c>
      <c r="G56" s="12">
        <v>2</v>
      </c>
      <c r="H56" t="s">
        <v>47</v>
      </c>
      <c r="I56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0</v>
      </c>
      <c r="F57" s="2" t="s">
        <v>145</v>
      </c>
      <c r="G57" s="12">
        <v>2</v>
      </c>
      <c r="H57" t="s">
        <v>39</v>
      </c>
      <c r="I57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2</v>
      </c>
      <c r="F58" s="2" t="s">
        <v>145</v>
      </c>
      <c r="G58" s="12">
        <v>1</v>
      </c>
      <c r="H58" t="s">
        <v>51</v>
      </c>
      <c r="I58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0</v>
      </c>
      <c r="F59" s="2" t="s">
        <v>145</v>
      </c>
      <c r="G59" s="12">
        <v>1</v>
      </c>
      <c r="H59" t="s">
        <v>43</v>
      </c>
      <c r="I59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1</v>
      </c>
      <c r="F60" s="2" t="s">
        <v>145</v>
      </c>
      <c r="G60" s="12">
        <v>1</v>
      </c>
      <c r="H60" t="s">
        <v>34</v>
      </c>
      <c r="I60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1</v>
      </c>
      <c r="F61" s="2" t="s">
        <v>145</v>
      </c>
      <c r="G61" s="12">
        <v>1</v>
      </c>
      <c r="H61" t="s">
        <v>19</v>
      </c>
      <c r="I61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0</v>
      </c>
      <c r="F62" s="2" t="s">
        <v>145</v>
      </c>
      <c r="G62" s="12">
        <v>2</v>
      </c>
      <c r="H62" t="s">
        <v>68</v>
      </c>
      <c r="I62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2</v>
      </c>
      <c r="F63" s="2" t="s">
        <v>145</v>
      </c>
      <c r="G63" s="12">
        <v>0</v>
      </c>
      <c r="H63" t="s">
        <v>72</v>
      </c>
      <c r="I63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0</v>
      </c>
      <c r="F64" s="2" t="s">
        <v>145</v>
      </c>
      <c r="G64" s="12">
        <v>0</v>
      </c>
      <c r="H64" t="s">
        <v>62</v>
      </c>
      <c r="I64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1</v>
      </c>
      <c r="F65" s="2" t="s">
        <v>145</v>
      </c>
      <c r="G65" s="12">
        <v>2</v>
      </c>
      <c r="H65" t="s">
        <v>54</v>
      </c>
      <c r="I65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1</v>
      </c>
      <c r="F66" s="2" t="s">
        <v>145</v>
      </c>
      <c r="G66" s="12">
        <v>1</v>
      </c>
      <c r="H66" t="s">
        <v>65</v>
      </c>
      <c r="I66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0</v>
      </c>
      <c r="F67" s="2" t="s">
        <v>145</v>
      </c>
      <c r="G67" s="12">
        <v>2</v>
      </c>
      <c r="H67" t="s">
        <v>59</v>
      </c>
      <c r="I67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2</v>
      </c>
      <c r="F68" s="2" t="s">
        <v>145</v>
      </c>
      <c r="G68" s="12">
        <v>0</v>
      </c>
      <c r="H68" t="s">
        <v>88</v>
      </c>
      <c r="I68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0</v>
      </c>
      <c r="F69" s="2" t="s">
        <v>145</v>
      </c>
      <c r="G69" s="12">
        <v>3</v>
      </c>
      <c r="H69" t="s">
        <v>85</v>
      </c>
      <c r="I69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0</v>
      </c>
      <c r="F70" s="2" t="s">
        <v>145</v>
      </c>
      <c r="G70" s="12">
        <v>1</v>
      </c>
      <c r="H70" t="s">
        <v>82</v>
      </c>
      <c r="I70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0</v>
      </c>
      <c r="F71" s="2" t="s">
        <v>145</v>
      </c>
      <c r="G71" s="12">
        <v>0</v>
      </c>
      <c r="H71" t="s">
        <v>91</v>
      </c>
      <c r="I71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1</v>
      </c>
      <c r="F72" s="2" t="s">
        <v>145</v>
      </c>
      <c r="G72" s="12">
        <v>1</v>
      </c>
      <c r="H72" t="s">
        <v>78</v>
      </c>
      <c r="I72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0</v>
      </c>
      <c r="F73" s="2" t="s">
        <v>145</v>
      </c>
      <c r="G73" s="12">
        <v>3</v>
      </c>
      <c r="H73" t="s">
        <v>75</v>
      </c>
      <c r="I73" s="2">
        <f>IF(OR(Tabela_3349[[#This Row],[Placar Mandante]]="",Tabela_3349[[#This Row],[Placar Visitante]]="",Tabela_3[[#This Row],[Placar Mandante]]="",Tabela_3[[#This Row],[Placar Visitante]]=""),0,
IF(AND(Tabela_3349[[#This Row],[Placar Mandante]]=Tabela_3[[#This Row],[Placar Mandante]],Tabela_3349[[#This Row],[Placar Visitante]]=Tabela_3[[#This Row],[Placar Visitante]]),3,
IF(SIGN(Tabela_3349[[#This Row],[Placar Mandante]]-Tabela_3349[[#This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9145-5496-4C1B-925C-7490203713D3}">
  <dimension ref="A1:K73"/>
  <sheetViews>
    <sheetView topLeftCell="B1" zoomScaleNormal="100" workbookViewId="0">
      <selection activeCell="H75" sqref="H75"/>
    </sheetView>
  </sheetViews>
  <sheetFormatPr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2.2187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0</v>
      </c>
      <c r="H2" t="s">
        <v>7</v>
      </c>
      <c r="I2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  <c r="J2" s="13"/>
      <c r="K2" s="3">
        <f>SUM(Tabela_33457[Pontuação])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1</v>
      </c>
      <c r="H3" t="s">
        <v>12</v>
      </c>
      <c r="I3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1</v>
      </c>
      <c r="H4" t="s">
        <v>16</v>
      </c>
      <c r="I4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1</v>
      </c>
      <c r="H5" t="s">
        <v>20</v>
      </c>
      <c r="I5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1</v>
      </c>
      <c r="H7" t="s">
        <v>28</v>
      </c>
      <c r="I7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2</v>
      </c>
      <c r="H8" t="s">
        <v>32</v>
      </c>
      <c r="I8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1</v>
      </c>
      <c r="H9" t="s">
        <v>35</v>
      </c>
      <c r="I9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3</v>
      </c>
      <c r="F10" s="12" t="s">
        <v>145</v>
      </c>
      <c r="G10" s="12">
        <v>0</v>
      </c>
      <c r="H10" t="s">
        <v>40</v>
      </c>
      <c r="I10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1</v>
      </c>
      <c r="H11" t="s">
        <v>44</v>
      </c>
      <c r="I11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1</v>
      </c>
      <c r="H12" t="s">
        <v>48</v>
      </c>
      <c r="I12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0</v>
      </c>
      <c r="H13" t="s">
        <v>52</v>
      </c>
      <c r="I13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0</v>
      </c>
      <c r="H14" t="s">
        <v>55</v>
      </c>
      <c r="I14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0</v>
      </c>
      <c r="H15" t="s">
        <v>60</v>
      </c>
      <c r="I15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2</v>
      </c>
      <c r="F17" s="12" t="s">
        <v>145</v>
      </c>
      <c r="G17" s="12">
        <v>0</v>
      </c>
      <c r="H17" t="s">
        <v>66</v>
      </c>
      <c r="I17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1</v>
      </c>
      <c r="H18" t="s">
        <v>69</v>
      </c>
      <c r="I18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2</v>
      </c>
      <c r="H19" t="s">
        <v>73</v>
      </c>
      <c r="I19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2</v>
      </c>
      <c r="F20" s="12" t="s">
        <v>145</v>
      </c>
      <c r="G20" s="12">
        <v>0</v>
      </c>
      <c r="H20" t="s">
        <v>76</v>
      </c>
      <c r="I20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0</v>
      </c>
      <c r="H21" t="s">
        <v>79</v>
      </c>
      <c r="I21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0</v>
      </c>
      <c r="H22" t="s">
        <v>83</v>
      </c>
      <c r="I22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1</v>
      </c>
      <c r="H23" t="s">
        <v>86</v>
      </c>
      <c r="I23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0</v>
      </c>
      <c r="H24" t="s">
        <v>89</v>
      </c>
      <c r="I24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1</v>
      </c>
      <c r="F25" s="12" t="s">
        <v>145</v>
      </c>
      <c r="G25" s="12">
        <v>2</v>
      </c>
      <c r="H25" t="s">
        <v>92</v>
      </c>
      <c r="I25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1</v>
      </c>
      <c r="H26" t="s">
        <v>7</v>
      </c>
      <c r="I26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1</v>
      </c>
      <c r="F27" s="12" t="s">
        <v>145</v>
      </c>
      <c r="G27" s="12">
        <v>1</v>
      </c>
      <c r="H27" t="s">
        <v>16</v>
      </c>
      <c r="I27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0</v>
      </c>
      <c r="H28" t="s">
        <v>23</v>
      </c>
      <c r="I28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1</v>
      </c>
      <c r="H30" t="s">
        <v>34</v>
      </c>
      <c r="I30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1</v>
      </c>
      <c r="H31" t="s">
        <v>28</v>
      </c>
      <c r="I31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5</v>
      </c>
      <c r="F32" s="12" t="s">
        <v>145</v>
      </c>
      <c r="G32" s="12">
        <v>1</v>
      </c>
      <c r="H32" t="s">
        <v>31</v>
      </c>
      <c r="I32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1</v>
      </c>
      <c r="H33" t="s">
        <v>20</v>
      </c>
      <c r="I33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1</v>
      </c>
      <c r="F34" s="12" t="s">
        <v>145</v>
      </c>
      <c r="G34" s="12">
        <v>1</v>
      </c>
      <c r="H34" t="s">
        <v>51</v>
      </c>
      <c r="I34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1</v>
      </c>
      <c r="H35" t="s">
        <v>47</v>
      </c>
      <c r="I35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1</v>
      </c>
      <c r="H37" t="s">
        <v>44</v>
      </c>
      <c r="I37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0</v>
      </c>
      <c r="H38" t="s">
        <v>62</v>
      </c>
      <c r="I38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1</v>
      </c>
      <c r="H39" t="s">
        <v>65</v>
      </c>
      <c r="I39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2</v>
      </c>
      <c r="F40" s="12" t="s">
        <v>145</v>
      </c>
      <c r="G40" s="12">
        <v>0</v>
      </c>
      <c r="H40" t="s">
        <v>55</v>
      </c>
      <c r="I40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2</v>
      </c>
      <c r="H41" t="s">
        <v>60</v>
      </c>
      <c r="I41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1</v>
      </c>
      <c r="H42" t="s">
        <v>78</v>
      </c>
      <c r="I42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1</v>
      </c>
      <c r="H44" t="s">
        <v>69</v>
      </c>
      <c r="I44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1</v>
      </c>
      <c r="H45" t="s">
        <v>76</v>
      </c>
      <c r="I45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2</v>
      </c>
      <c r="F46" s="12" t="s">
        <v>145</v>
      </c>
      <c r="G46" s="12">
        <v>0</v>
      </c>
      <c r="H46" t="s">
        <v>91</v>
      </c>
      <c r="I46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0</v>
      </c>
      <c r="H47" t="s">
        <v>88</v>
      </c>
      <c r="I47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0</v>
      </c>
      <c r="H49" t="s">
        <v>83</v>
      </c>
      <c r="I49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2</v>
      </c>
      <c r="F50" s="12" t="s">
        <v>145</v>
      </c>
      <c r="G50" s="12">
        <v>1</v>
      </c>
      <c r="H50" t="s">
        <v>23</v>
      </c>
      <c r="I50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2</v>
      </c>
      <c r="F51" s="12" t="s">
        <v>145</v>
      </c>
      <c r="G51" s="12">
        <v>1</v>
      </c>
      <c r="H51" t="s">
        <v>15</v>
      </c>
      <c r="I51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2</v>
      </c>
      <c r="H52" t="s">
        <v>27</v>
      </c>
      <c r="I52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2</v>
      </c>
      <c r="F53" s="12" t="s">
        <v>145</v>
      </c>
      <c r="G53" s="12">
        <v>0</v>
      </c>
      <c r="H53" t="s">
        <v>31</v>
      </c>
      <c r="I53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2</v>
      </c>
      <c r="H54" t="s">
        <v>11</v>
      </c>
      <c r="I54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2</v>
      </c>
      <c r="H55" t="s">
        <v>6</v>
      </c>
      <c r="I55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2</v>
      </c>
      <c r="H56" t="s">
        <v>47</v>
      </c>
      <c r="I56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2</v>
      </c>
      <c r="H57" t="s">
        <v>39</v>
      </c>
      <c r="I57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1</v>
      </c>
      <c r="H58" t="s">
        <v>51</v>
      </c>
      <c r="I58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2</v>
      </c>
      <c r="H59" t="s">
        <v>43</v>
      </c>
      <c r="I59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2</v>
      </c>
      <c r="F60" s="12" t="s">
        <v>145</v>
      </c>
      <c r="G60" s="12">
        <v>1</v>
      </c>
      <c r="H60" t="s">
        <v>34</v>
      </c>
      <c r="I60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2</v>
      </c>
      <c r="H61" t="s">
        <v>19</v>
      </c>
      <c r="I61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2</v>
      </c>
      <c r="H62" t="s">
        <v>68</v>
      </c>
      <c r="I62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0</v>
      </c>
      <c r="H63" t="s">
        <v>72</v>
      </c>
      <c r="I63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1</v>
      </c>
      <c r="H64" t="s">
        <v>62</v>
      </c>
      <c r="I64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1</v>
      </c>
      <c r="H65" t="s">
        <v>54</v>
      </c>
      <c r="I65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1</v>
      </c>
      <c r="H66" t="s">
        <v>65</v>
      </c>
      <c r="I66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3</v>
      </c>
      <c r="H67" t="s">
        <v>59</v>
      </c>
      <c r="I67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1</v>
      </c>
      <c r="F68" s="12" t="s">
        <v>145</v>
      </c>
      <c r="G68" s="12">
        <v>1</v>
      </c>
      <c r="H68" t="s">
        <v>88</v>
      </c>
      <c r="I68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2</v>
      </c>
      <c r="H70" t="s">
        <v>82</v>
      </c>
      <c r="I70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1</v>
      </c>
      <c r="H71" t="s">
        <v>91</v>
      </c>
      <c r="I71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IF(OR(Tabela_33457[[#This Row],[Placar Mandante]]="",Tabela_33457[[#This Row],[Placar Visitante]]="",Tabela_3[[#This Row],[Placar Mandante]]="",Tabela_3[[#This Row],[Placar Visitante]]=""),0,
IF(AND(Tabela_33457[[#This Row],[Placar Mandante]]=Tabela_3[[#This Row],[Placar Mandante]],Tabela_33457[[#This Row],[Placar Visitante]]=Tabela_3[[#This Row],[Placar Visitante]]),3,
IF(SIGN(Tabela_33457[[#This Row],[Placar Mandante]]-Tabela_33457[[#This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5255-77E6-4BB7-ABA1-C7A391853DA0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1.664062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J1" s="41"/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1</v>
      </c>
      <c r="F2" s="12" t="s">
        <v>145</v>
      </c>
      <c r="G2" s="12">
        <v>1</v>
      </c>
      <c r="H2" t="s">
        <v>7</v>
      </c>
      <c r="I2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  <c r="J2" s="42"/>
      <c r="K2" s="3">
        <f>SUM(Tabela_33422[Pontuação])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1</v>
      </c>
      <c r="H3" t="s">
        <v>12</v>
      </c>
      <c r="I3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  <c r="J3" s="43"/>
      <c r="K3" s="41"/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1</v>
      </c>
      <c r="H4" t="s">
        <v>16</v>
      </c>
      <c r="I4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  <c r="J4" s="41"/>
      <c r="K4" s="41"/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2</v>
      </c>
      <c r="F5" s="12" t="s">
        <v>145</v>
      </c>
      <c r="G5" s="12">
        <v>1</v>
      </c>
      <c r="H5" t="s">
        <v>20</v>
      </c>
      <c r="I5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  <c r="J5" s="44"/>
      <c r="K5" s="41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1</v>
      </c>
      <c r="H6" t="s">
        <v>24</v>
      </c>
      <c r="I6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  <c r="J6" s="45"/>
      <c r="K6" s="41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1</v>
      </c>
      <c r="H7" t="s">
        <v>28</v>
      </c>
      <c r="I7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  <c r="J7" s="41"/>
      <c r="K7" s="41"/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3</v>
      </c>
      <c r="H8" t="s">
        <v>32</v>
      </c>
      <c r="I8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  <c r="J8" s="46"/>
      <c r="K8" s="4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0</v>
      </c>
      <c r="F9" s="12" t="s">
        <v>145</v>
      </c>
      <c r="G9" s="12">
        <v>2</v>
      </c>
      <c r="H9" t="s">
        <v>35</v>
      </c>
      <c r="I9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  <c r="J9" s="41"/>
      <c r="K9" s="41"/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5</v>
      </c>
      <c r="F10" s="12" t="s">
        <v>145</v>
      </c>
      <c r="G10" s="12">
        <v>0</v>
      </c>
      <c r="H10" t="s">
        <v>40</v>
      </c>
      <c r="I10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3</v>
      </c>
      <c r="F11" s="12" t="s">
        <v>145</v>
      </c>
      <c r="G11" s="12">
        <v>1</v>
      </c>
      <c r="H11" t="s">
        <v>44</v>
      </c>
      <c r="I11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2</v>
      </c>
      <c r="F12" s="12" t="s">
        <v>145</v>
      </c>
      <c r="G12" s="12">
        <v>1</v>
      </c>
      <c r="H12" t="s">
        <v>48</v>
      </c>
      <c r="I12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2</v>
      </c>
      <c r="F13" s="12" t="s">
        <v>145</v>
      </c>
      <c r="G13" s="12">
        <v>0</v>
      </c>
      <c r="H13" t="s">
        <v>52</v>
      </c>
      <c r="I13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6</v>
      </c>
      <c r="F14" s="12" t="s">
        <v>145</v>
      </c>
      <c r="G14" s="12">
        <v>0</v>
      </c>
      <c r="H14" t="s">
        <v>55</v>
      </c>
      <c r="I14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0</v>
      </c>
      <c r="H15" t="s">
        <v>60</v>
      </c>
      <c r="I15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1</v>
      </c>
      <c r="F16" s="12" t="s">
        <v>145</v>
      </c>
      <c r="G16" s="12">
        <v>2</v>
      </c>
      <c r="H16" t="s">
        <v>63</v>
      </c>
      <c r="I16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2</v>
      </c>
      <c r="F17" s="12" t="s">
        <v>145</v>
      </c>
      <c r="G17" s="12">
        <v>1</v>
      </c>
      <c r="H17" t="s">
        <v>66</v>
      </c>
      <c r="I17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3</v>
      </c>
      <c r="F18" s="12" t="s">
        <v>145</v>
      </c>
      <c r="G18" s="12">
        <v>2</v>
      </c>
      <c r="H18" t="s">
        <v>69</v>
      </c>
      <c r="I18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1</v>
      </c>
      <c r="F19" s="12" t="s">
        <v>145</v>
      </c>
      <c r="G19" s="12">
        <v>3</v>
      </c>
      <c r="H19" t="s">
        <v>73</v>
      </c>
      <c r="I19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1</v>
      </c>
      <c r="H20" t="s">
        <v>76</v>
      </c>
      <c r="I20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1</v>
      </c>
      <c r="F21" s="12" t="s">
        <v>145</v>
      </c>
      <c r="G21" s="12">
        <v>0</v>
      </c>
      <c r="H21" t="s">
        <v>79</v>
      </c>
      <c r="I21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1</v>
      </c>
      <c r="H22" t="s">
        <v>83</v>
      </c>
      <c r="I22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2</v>
      </c>
      <c r="H23" t="s">
        <v>86</v>
      </c>
      <c r="I23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0</v>
      </c>
      <c r="H24" t="s">
        <v>89</v>
      </c>
      <c r="I24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1</v>
      </c>
      <c r="F25" s="12" t="s">
        <v>145</v>
      </c>
      <c r="G25" s="12">
        <v>4</v>
      </c>
      <c r="H25" t="s">
        <v>92</v>
      </c>
      <c r="I25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2</v>
      </c>
      <c r="H26" t="s">
        <v>7</v>
      </c>
      <c r="I26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1</v>
      </c>
      <c r="F27" s="12" t="s">
        <v>145</v>
      </c>
      <c r="G27" s="12">
        <v>1</v>
      </c>
      <c r="H27" t="s">
        <v>16</v>
      </c>
      <c r="I27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1</v>
      </c>
      <c r="H28" t="s">
        <v>23</v>
      </c>
      <c r="I28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0</v>
      </c>
      <c r="H30" t="s">
        <v>34</v>
      </c>
      <c r="I30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1</v>
      </c>
      <c r="H31" t="s">
        <v>28</v>
      </c>
      <c r="I31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6</v>
      </c>
      <c r="F32" s="12" t="s">
        <v>145</v>
      </c>
      <c r="G32" s="12">
        <v>0</v>
      </c>
      <c r="H32" t="s">
        <v>31</v>
      </c>
      <c r="I32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1</v>
      </c>
      <c r="H33" t="s">
        <v>20</v>
      </c>
      <c r="I33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1</v>
      </c>
      <c r="H34" t="s">
        <v>51</v>
      </c>
      <c r="I34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0</v>
      </c>
      <c r="H35" t="s">
        <v>47</v>
      </c>
      <c r="I35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0</v>
      </c>
      <c r="H36" t="s">
        <v>40</v>
      </c>
      <c r="I36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1</v>
      </c>
      <c r="H37" t="s">
        <v>44</v>
      </c>
      <c r="I37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1</v>
      </c>
      <c r="H38" t="s">
        <v>62</v>
      </c>
      <c r="I38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1</v>
      </c>
      <c r="F39" s="12" t="s">
        <v>145</v>
      </c>
      <c r="G39" s="12">
        <v>1</v>
      </c>
      <c r="H39" t="s">
        <v>65</v>
      </c>
      <c r="I39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1</v>
      </c>
      <c r="H40" t="s">
        <v>55</v>
      </c>
      <c r="I40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0</v>
      </c>
      <c r="H41" t="s">
        <v>60</v>
      </c>
      <c r="I41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1</v>
      </c>
      <c r="H42" t="s">
        <v>78</v>
      </c>
      <c r="I42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1</v>
      </c>
      <c r="H43" t="s">
        <v>72</v>
      </c>
      <c r="I43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2</v>
      </c>
      <c r="F44" s="12" t="s">
        <v>145</v>
      </c>
      <c r="G44" s="12">
        <v>2</v>
      </c>
      <c r="H44" t="s">
        <v>69</v>
      </c>
      <c r="I44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2</v>
      </c>
      <c r="F45" s="12" t="s">
        <v>145</v>
      </c>
      <c r="G45" s="12">
        <v>2</v>
      </c>
      <c r="H45" t="s">
        <v>76</v>
      </c>
      <c r="I45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1</v>
      </c>
      <c r="H46" t="s">
        <v>91</v>
      </c>
      <c r="I46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1</v>
      </c>
      <c r="F47" s="12" t="s">
        <v>145</v>
      </c>
      <c r="G47" s="12">
        <v>0</v>
      </c>
      <c r="H47" t="s">
        <v>88</v>
      </c>
      <c r="I47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1</v>
      </c>
      <c r="F48" s="12" t="s">
        <v>145</v>
      </c>
      <c r="G48" s="12">
        <v>3</v>
      </c>
      <c r="H48" t="s">
        <v>86</v>
      </c>
      <c r="I48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1</v>
      </c>
      <c r="F49" s="12" t="s">
        <v>145</v>
      </c>
      <c r="G49" s="12">
        <v>1</v>
      </c>
      <c r="H49" t="s">
        <v>83</v>
      </c>
      <c r="I49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0</v>
      </c>
      <c r="H50" t="s">
        <v>23</v>
      </c>
      <c r="I50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0</v>
      </c>
      <c r="H51" t="s">
        <v>15</v>
      </c>
      <c r="I51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1</v>
      </c>
      <c r="F52" s="12" t="s">
        <v>145</v>
      </c>
      <c r="G52" s="12">
        <v>2</v>
      </c>
      <c r="H52" t="s">
        <v>27</v>
      </c>
      <c r="I52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1</v>
      </c>
      <c r="H53" t="s">
        <v>31</v>
      </c>
      <c r="I53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2</v>
      </c>
      <c r="F54" s="12" t="s">
        <v>145</v>
      </c>
      <c r="G54" s="12">
        <v>1</v>
      </c>
      <c r="H54" t="s">
        <v>11</v>
      </c>
      <c r="I54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2</v>
      </c>
      <c r="F55" s="12" t="s">
        <v>145</v>
      </c>
      <c r="G55" s="12">
        <v>2</v>
      </c>
      <c r="H55" t="s">
        <v>6</v>
      </c>
      <c r="I55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1</v>
      </c>
      <c r="F56" s="12" t="s">
        <v>145</v>
      </c>
      <c r="G56" s="12">
        <v>3</v>
      </c>
      <c r="H56" t="s">
        <v>47</v>
      </c>
      <c r="I56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2</v>
      </c>
      <c r="H57" t="s">
        <v>39</v>
      </c>
      <c r="I57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1</v>
      </c>
      <c r="H58" t="s">
        <v>51</v>
      </c>
      <c r="I58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2</v>
      </c>
      <c r="H59" t="s">
        <v>43</v>
      </c>
      <c r="I59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2</v>
      </c>
      <c r="F60" s="12" t="s">
        <v>145</v>
      </c>
      <c r="G60" s="12">
        <v>0</v>
      </c>
      <c r="H60" t="s">
        <v>34</v>
      </c>
      <c r="I60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1</v>
      </c>
      <c r="H61" t="s">
        <v>19</v>
      </c>
      <c r="I61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2</v>
      </c>
      <c r="H62" t="s">
        <v>68</v>
      </c>
      <c r="I62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1</v>
      </c>
      <c r="H63" t="s">
        <v>72</v>
      </c>
      <c r="I63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1</v>
      </c>
      <c r="H64" t="s">
        <v>62</v>
      </c>
      <c r="I64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1</v>
      </c>
      <c r="H65" t="s">
        <v>54</v>
      </c>
      <c r="I65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1</v>
      </c>
      <c r="H66" t="s">
        <v>65</v>
      </c>
      <c r="I66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3</v>
      </c>
      <c r="H67" t="s">
        <v>59</v>
      </c>
      <c r="I67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1</v>
      </c>
      <c r="H68" t="s">
        <v>88</v>
      </c>
      <c r="I68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1</v>
      </c>
      <c r="F69" s="12" t="s">
        <v>145</v>
      </c>
      <c r="G69" s="12">
        <v>4</v>
      </c>
      <c r="H69" t="s">
        <v>85</v>
      </c>
      <c r="I69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2</v>
      </c>
      <c r="F70" s="12" t="s">
        <v>145</v>
      </c>
      <c r="G70" s="12">
        <v>3</v>
      </c>
      <c r="H70" t="s">
        <v>82</v>
      </c>
      <c r="I70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0</v>
      </c>
      <c r="H71" t="s">
        <v>91</v>
      </c>
      <c r="I71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IF(OR(Tabela_33422[[#This Row],[Placar Mandante]]="",Tabela_33422[[#This Row],[Placar Visitante]]="",Tabela_3[[#This Row],[Placar Mandante]]="",Tabela_3[[#This Row],[Placar Visitante]]=""),0,
IF(AND(Tabela_33422[[#This Row],[Placar Mandante]]=Tabela_3[[#This Row],[Placar Mandante]],Tabela_33422[[#This Row],[Placar Visitante]]=Tabela_3[[#This Row],[Placar Visitante]]),3,
IF(SIGN(Tabela_33422[[#This Row],[Placar Mandante]]-Tabela_33422[[#This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C279-A2B8-4572-81EC-7C4D20E8C0BF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9.7773437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0</v>
      </c>
      <c r="H2" t="s">
        <v>7</v>
      </c>
      <c r="I2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  <c r="J2" s="13"/>
      <c r="K2" s="3">
        <f>SUM(Tabela_33458[Pontuação])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1</v>
      </c>
      <c r="H3" t="s">
        <v>12</v>
      </c>
      <c r="I3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1</v>
      </c>
      <c r="H4" t="s">
        <v>16</v>
      </c>
      <c r="I4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1</v>
      </c>
      <c r="H5" t="s">
        <v>20</v>
      </c>
      <c r="I5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1</v>
      </c>
      <c r="F7" s="12" t="s">
        <v>145</v>
      </c>
      <c r="G7" s="12">
        <v>1</v>
      </c>
      <c r="H7" t="s">
        <v>28</v>
      </c>
      <c r="I7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2</v>
      </c>
      <c r="H8" t="s">
        <v>32</v>
      </c>
      <c r="I8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0</v>
      </c>
      <c r="F9" s="12" t="s">
        <v>145</v>
      </c>
      <c r="G9" s="12">
        <v>2</v>
      </c>
      <c r="H9" t="s">
        <v>35</v>
      </c>
      <c r="I9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3</v>
      </c>
      <c r="F10" s="12" t="s">
        <v>145</v>
      </c>
      <c r="G10" s="12">
        <v>0</v>
      </c>
      <c r="H10" t="s">
        <v>40</v>
      </c>
      <c r="I10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1</v>
      </c>
      <c r="H11" t="s">
        <v>44</v>
      </c>
      <c r="I11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1</v>
      </c>
      <c r="H12" t="s">
        <v>48</v>
      </c>
      <c r="I12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2</v>
      </c>
      <c r="F13" s="12" t="s">
        <v>145</v>
      </c>
      <c r="G13" s="12">
        <v>0</v>
      </c>
      <c r="H13" t="s">
        <v>52</v>
      </c>
      <c r="I13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0</v>
      </c>
      <c r="H14" t="s">
        <v>55</v>
      </c>
      <c r="I14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1</v>
      </c>
      <c r="H15" t="s">
        <v>60</v>
      </c>
      <c r="I15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2</v>
      </c>
      <c r="F17" s="12" t="s">
        <v>145</v>
      </c>
      <c r="G17" s="12">
        <v>0</v>
      </c>
      <c r="H17" t="s">
        <v>66</v>
      </c>
      <c r="I17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1</v>
      </c>
      <c r="H18" t="s">
        <v>69</v>
      </c>
      <c r="I18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2</v>
      </c>
      <c r="H19" t="s">
        <v>73</v>
      </c>
      <c r="I19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2</v>
      </c>
      <c r="F20" s="12" t="s">
        <v>145</v>
      </c>
      <c r="G20" s="12">
        <v>0</v>
      </c>
      <c r="H20" t="s">
        <v>76</v>
      </c>
      <c r="I20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1</v>
      </c>
      <c r="H21" t="s">
        <v>79</v>
      </c>
      <c r="I21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2</v>
      </c>
      <c r="F22" s="12" t="s">
        <v>145</v>
      </c>
      <c r="G22" s="12">
        <v>1</v>
      </c>
      <c r="H22" t="s">
        <v>83</v>
      </c>
      <c r="I22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1</v>
      </c>
      <c r="F23" s="12" t="s">
        <v>145</v>
      </c>
      <c r="G23" s="12">
        <v>1</v>
      </c>
      <c r="H23" t="s">
        <v>86</v>
      </c>
      <c r="I23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1</v>
      </c>
      <c r="H24" t="s">
        <v>89</v>
      </c>
      <c r="I24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0</v>
      </c>
      <c r="H26" t="s">
        <v>7</v>
      </c>
      <c r="I26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1</v>
      </c>
      <c r="H27" t="s">
        <v>16</v>
      </c>
      <c r="I27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0</v>
      </c>
      <c r="H28" t="s">
        <v>23</v>
      </c>
      <c r="I28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1</v>
      </c>
      <c r="F29" s="12" t="s">
        <v>145</v>
      </c>
      <c r="G29" s="12">
        <v>1</v>
      </c>
      <c r="H29" t="s">
        <v>11</v>
      </c>
      <c r="I29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1</v>
      </c>
      <c r="H30" t="s">
        <v>34</v>
      </c>
      <c r="I30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1</v>
      </c>
      <c r="H31" t="s">
        <v>28</v>
      </c>
      <c r="I31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2</v>
      </c>
      <c r="F32" s="12" t="s">
        <v>145</v>
      </c>
      <c r="G32" s="12">
        <v>1</v>
      </c>
      <c r="H32" t="s">
        <v>31</v>
      </c>
      <c r="I32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1</v>
      </c>
      <c r="H33" t="s">
        <v>20</v>
      </c>
      <c r="I33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1</v>
      </c>
      <c r="F34" s="12" t="s">
        <v>145</v>
      </c>
      <c r="G34" s="12">
        <v>1</v>
      </c>
      <c r="H34" t="s">
        <v>51</v>
      </c>
      <c r="I34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0</v>
      </c>
      <c r="H35" t="s">
        <v>47</v>
      </c>
      <c r="I35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1</v>
      </c>
      <c r="H36" t="s">
        <v>40</v>
      </c>
      <c r="I36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2</v>
      </c>
      <c r="H37" t="s">
        <v>44</v>
      </c>
      <c r="I37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0</v>
      </c>
      <c r="H38" t="s">
        <v>62</v>
      </c>
      <c r="I38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1</v>
      </c>
      <c r="F39" s="12" t="s">
        <v>145</v>
      </c>
      <c r="G39" s="12">
        <v>1</v>
      </c>
      <c r="H39" t="s">
        <v>65</v>
      </c>
      <c r="I39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2</v>
      </c>
      <c r="F40" s="12" t="s">
        <v>145</v>
      </c>
      <c r="G40" s="12">
        <v>1</v>
      </c>
      <c r="H40" t="s">
        <v>55</v>
      </c>
      <c r="I40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1</v>
      </c>
      <c r="H41" t="s">
        <v>60</v>
      </c>
      <c r="I41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1</v>
      </c>
      <c r="H42" t="s">
        <v>78</v>
      </c>
      <c r="I42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2</v>
      </c>
      <c r="F43" s="12" t="s">
        <v>145</v>
      </c>
      <c r="G43" s="12">
        <v>0</v>
      </c>
      <c r="H43" t="s">
        <v>72</v>
      </c>
      <c r="I43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1</v>
      </c>
      <c r="H44" t="s">
        <v>69</v>
      </c>
      <c r="I44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2</v>
      </c>
      <c r="H45" t="s">
        <v>76</v>
      </c>
      <c r="I45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2</v>
      </c>
      <c r="F46" s="12" t="s">
        <v>145</v>
      </c>
      <c r="G46" s="12">
        <v>0</v>
      </c>
      <c r="H46" t="s">
        <v>91</v>
      </c>
      <c r="I46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3</v>
      </c>
      <c r="F47" s="12" t="s">
        <v>145</v>
      </c>
      <c r="G47" s="12">
        <v>1</v>
      </c>
      <c r="H47" t="s">
        <v>88</v>
      </c>
      <c r="I47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1</v>
      </c>
      <c r="H49" t="s">
        <v>83</v>
      </c>
      <c r="I49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2</v>
      </c>
      <c r="F50" s="12" t="s">
        <v>145</v>
      </c>
      <c r="G50" s="12">
        <v>1</v>
      </c>
      <c r="H50" t="s">
        <v>23</v>
      </c>
      <c r="I50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0</v>
      </c>
      <c r="F51" s="12" t="s">
        <v>145</v>
      </c>
      <c r="G51" s="12">
        <v>2</v>
      </c>
      <c r="H51" t="s">
        <v>15</v>
      </c>
      <c r="I51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1</v>
      </c>
      <c r="F52" s="12" t="s">
        <v>145</v>
      </c>
      <c r="G52" s="12">
        <v>2</v>
      </c>
      <c r="H52" t="s">
        <v>27</v>
      </c>
      <c r="I52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0</v>
      </c>
      <c r="H53" t="s">
        <v>31</v>
      </c>
      <c r="I53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2</v>
      </c>
      <c r="H54" t="s">
        <v>11</v>
      </c>
      <c r="I54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2</v>
      </c>
      <c r="H55" t="s">
        <v>6</v>
      </c>
      <c r="I55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2</v>
      </c>
      <c r="H56" t="s">
        <v>47</v>
      </c>
      <c r="I56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1</v>
      </c>
      <c r="H57" t="s">
        <v>39</v>
      </c>
      <c r="I57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1</v>
      </c>
      <c r="H58" t="s">
        <v>51</v>
      </c>
      <c r="I58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2</v>
      </c>
      <c r="H59" t="s">
        <v>43</v>
      </c>
      <c r="I59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2</v>
      </c>
      <c r="F60" s="12" t="s">
        <v>145</v>
      </c>
      <c r="G60" s="12">
        <v>1</v>
      </c>
      <c r="H60" t="s">
        <v>34</v>
      </c>
      <c r="I60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0</v>
      </c>
      <c r="F61" s="12" t="s">
        <v>145</v>
      </c>
      <c r="G61" s="12">
        <v>2</v>
      </c>
      <c r="H61" t="s">
        <v>19</v>
      </c>
      <c r="I61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1</v>
      </c>
      <c r="H62" t="s">
        <v>68</v>
      </c>
      <c r="I62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3</v>
      </c>
      <c r="F63" s="12" t="s">
        <v>145</v>
      </c>
      <c r="G63" s="12">
        <v>0</v>
      </c>
      <c r="H63" t="s">
        <v>72</v>
      </c>
      <c r="I63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2</v>
      </c>
      <c r="H64" t="s">
        <v>62</v>
      </c>
      <c r="I64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1</v>
      </c>
      <c r="H65" t="s">
        <v>54</v>
      </c>
      <c r="I65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1</v>
      </c>
      <c r="H66" t="s">
        <v>65</v>
      </c>
      <c r="I66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2</v>
      </c>
      <c r="H67" t="s">
        <v>59</v>
      </c>
      <c r="I67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1</v>
      </c>
      <c r="H68" t="s">
        <v>88</v>
      </c>
      <c r="I68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2</v>
      </c>
      <c r="H69" t="s">
        <v>85</v>
      </c>
      <c r="I69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1</v>
      </c>
      <c r="H70" t="s">
        <v>82</v>
      </c>
      <c r="I70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1</v>
      </c>
      <c r="H71" t="s">
        <v>91</v>
      </c>
      <c r="I71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IF(OR(Tabela_33458[[#This Row],[Placar Mandante]]="",Tabela_33458[[#This Row],[Placar Visitante]]="",Tabela_3[[#This Row],[Placar Mandante]]="",Tabela_3[[#This Row],[Placar Visitante]]=""),0,
IF(AND(Tabela_33458[[#This Row],[Placar Mandante]]=Tabela_3[[#This Row],[Placar Mandante]],Tabela_33458[[#This Row],[Placar Visitante]]=Tabela_3[[#This Row],[Placar Visitante]]),3,
IF(SIGN(Tabela_33458[[#This Row],[Placar Mandante]]-Tabela_33458[[#This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A5954-C990-4F48-A579-3782524B410D}">
  <sheetPr codeName="Planilha22"/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3</v>
      </c>
      <c r="F2" s="2" t="s">
        <v>145</v>
      </c>
      <c r="G2" s="12">
        <v>0</v>
      </c>
      <c r="H2" t="s">
        <v>7</v>
      </c>
      <c r="I2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  <c r="K2" s="3">
        <f>SUM(Tabela_3350[Pontuação])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2</v>
      </c>
      <c r="F3" s="2" t="s">
        <v>145</v>
      </c>
      <c r="G3" s="12">
        <v>1</v>
      </c>
      <c r="H3" t="s">
        <v>12</v>
      </c>
      <c r="I3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1</v>
      </c>
      <c r="F4" s="2" t="s">
        <v>145</v>
      </c>
      <c r="G4" s="12">
        <v>1</v>
      </c>
      <c r="H4" t="s">
        <v>16</v>
      </c>
      <c r="I4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0</v>
      </c>
      <c r="F5" s="2" t="s">
        <v>145</v>
      </c>
      <c r="G5" s="12">
        <v>1</v>
      </c>
      <c r="H5" t="s">
        <v>20</v>
      </c>
      <c r="I5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2</v>
      </c>
      <c r="H6" t="s">
        <v>24</v>
      </c>
      <c r="I6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2</v>
      </c>
      <c r="F7" s="2" t="s">
        <v>145</v>
      </c>
      <c r="G7" s="12">
        <v>1</v>
      </c>
      <c r="H7" t="s">
        <v>28</v>
      </c>
      <c r="I7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0</v>
      </c>
      <c r="F8" s="2" t="s">
        <v>145</v>
      </c>
      <c r="G8" s="12">
        <v>1</v>
      </c>
      <c r="H8" t="s">
        <v>32</v>
      </c>
      <c r="I8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1</v>
      </c>
      <c r="F9" s="2" t="s">
        <v>145</v>
      </c>
      <c r="G9" s="12">
        <v>3</v>
      </c>
      <c r="H9" t="s">
        <v>35</v>
      </c>
      <c r="I9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4</v>
      </c>
      <c r="F10" s="2" t="s">
        <v>145</v>
      </c>
      <c r="G10" s="12">
        <v>1</v>
      </c>
      <c r="H10" t="s">
        <v>40</v>
      </c>
      <c r="I10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2</v>
      </c>
      <c r="F11" s="2" t="s">
        <v>145</v>
      </c>
      <c r="G11" s="12">
        <v>1</v>
      </c>
      <c r="H11" t="s">
        <v>44</v>
      </c>
      <c r="I11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0</v>
      </c>
      <c r="F12" s="2" t="s">
        <v>145</v>
      </c>
      <c r="G12" s="12">
        <v>2</v>
      </c>
      <c r="H12" t="s">
        <v>48</v>
      </c>
      <c r="I12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1</v>
      </c>
      <c r="F13" s="2" t="s">
        <v>145</v>
      </c>
      <c r="G13" s="12">
        <v>0</v>
      </c>
      <c r="H13" t="s">
        <v>52</v>
      </c>
      <c r="I13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3</v>
      </c>
      <c r="F14" s="2" t="s">
        <v>145</v>
      </c>
      <c r="G14" s="12">
        <v>0</v>
      </c>
      <c r="H14" t="s">
        <v>55</v>
      </c>
      <c r="I14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2</v>
      </c>
      <c r="F15" s="2" t="s">
        <v>145</v>
      </c>
      <c r="G15" s="12">
        <v>0</v>
      </c>
      <c r="H15" t="s">
        <v>60</v>
      </c>
      <c r="I15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1</v>
      </c>
      <c r="F16" s="2" t="s">
        <v>145</v>
      </c>
      <c r="G16" s="12">
        <v>3</v>
      </c>
      <c r="H16" t="s">
        <v>63</v>
      </c>
      <c r="I16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2</v>
      </c>
      <c r="F17" s="2" t="s">
        <v>145</v>
      </c>
      <c r="G17" s="12">
        <v>0</v>
      </c>
      <c r="H17" t="s">
        <v>66</v>
      </c>
      <c r="I17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3</v>
      </c>
      <c r="F18" s="2" t="s">
        <v>145</v>
      </c>
      <c r="G18" s="12">
        <v>1</v>
      </c>
      <c r="H18" t="s">
        <v>69</v>
      </c>
      <c r="I18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0</v>
      </c>
      <c r="F19" s="2" t="s">
        <v>145</v>
      </c>
      <c r="G19" s="12">
        <v>3</v>
      </c>
      <c r="H19" t="s">
        <v>73</v>
      </c>
      <c r="I19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2</v>
      </c>
      <c r="F20" s="2" t="s">
        <v>145</v>
      </c>
      <c r="G20" s="12">
        <v>0</v>
      </c>
      <c r="H20" t="s">
        <v>76</v>
      </c>
      <c r="I20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3</v>
      </c>
      <c r="F21" s="2" t="s">
        <v>145</v>
      </c>
      <c r="G21" s="12">
        <v>0</v>
      </c>
      <c r="H21" t="s">
        <v>79</v>
      </c>
      <c r="I21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4</v>
      </c>
      <c r="F22" s="2" t="s">
        <v>145</v>
      </c>
      <c r="G22" s="12">
        <v>0</v>
      </c>
      <c r="H22" t="s">
        <v>83</v>
      </c>
      <c r="I22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2</v>
      </c>
      <c r="F23" s="2" t="s">
        <v>145</v>
      </c>
      <c r="G23" s="12">
        <v>1</v>
      </c>
      <c r="H23" t="s">
        <v>86</v>
      </c>
      <c r="I23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2</v>
      </c>
      <c r="F24" s="2" t="s">
        <v>145</v>
      </c>
      <c r="G24" s="12">
        <v>1</v>
      </c>
      <c r="H24" t="s">
        <v>89</v>
      </c>
      <c r="I24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2</v>
      </c>
      <c r="H25" t="s">
        <v>92</v>
      </c>
      <c r="I25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1</v>
      </c>
      <c r="F26" s="2" t="s">
        <v>145</v>
      </c>
      <c r="G26" s="12">
        <v>0</v>
      </c>
      <c r="H26" t="s">
        <v>7</v>
      </c>
      <c r="I26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1</v>
      </c>
      <c r="F27" s="2" t="s">
        <v>145</v>
      </c>
      <c r="G27" s="12">
        <v>0</v>
      </c>
      <c r="H27" t="s">
        <v>16</v>
      </c>
      <c r="I27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2</v>
      </c>
      <c r="F28" s="2" t="s">
        <v>145</v>
      </c>
      <c r="G28" s="12">
        <v>1</v>
      </c>
      <c r="H28" t="s">
        <v>23</v>
      </c>
      <c r="I28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1</v>
      </c>
      <c r="F29" s="2" t="s">
        <v>145</v>
      </c>
      <c r="G29" s="12">
        <v>0</v>
      </c>
      <c r="H29" t="s">
        <v>11</v>
      </c>
      <c r="I29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2</v>
      </c>
      <c r="F30" s="2" t="s">
        <v>145</v>
      </c>
      <c r="G30" s="12">
        <v>2</v>
      </c>
      <c r="H30" t="s">
        <v>34</v>
      </c>
      <c r="I30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1</v>
      </c>
      <c r="F31" s="2" t="s">
        <v>145</v>
      </c>
      <c r="G31" s="12">
        <v>2</v>
      </c>
      <c r="H31" t="s">
        <v>28</v>
      </c>
      <c r="I31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3</v>
      </c>
      <c r="F32" s="2" t="s">
        <v>145</v>
      </c>
      <c r="G32" s="12">
        <v>0</v>
      </c>
      <c r="H32" t="s">
        <v>31</v>
      </c>
      <c r="I32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1</v>
      </c>
      <c r="F33" s="2" t="s">
        <v>145</v>
      </c>
      <c r="G33" s="12">
        <v>2</v>
      </c>
      <c r="H33" t="s">
        <v>20</v>
      </c>
      <c r="I33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2</v>
      </c>
      <c r="F34" s="2" t="s">
        <v>145</v>
      </c>
      <c r="G34" s="12">
        <v>0</v>
      </c>
      <c r="H34" t="s">
        <v>51</v>
      </c>
      <c r="I34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3</v>
      </c>
      <c r="F35" s="2" t="s">
        <v>145</v>
      </c>
      <c r="G35" s="12">
        <v>0</v>
      </c>
      <c r="H35" t="s">
        <v>47</v>
      </c>
      <c r="I35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1</v>
      </c>
      <c r="F36" s="2" t="s">
        <v>145</v>
      </c>
      <c r="G36" s="12">
        <v>0</v>
      </c>
      <c r="H36" t="s">
        <v>40</v>
      </c>
      <c r="I36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1</v>
      </c>
      <c r="F37" s="2" t="s">
        <v>145</v>
      </c>
      <c r="G37" s="12">
        <v>3</v>
      </c>
      <c r="H37" t="s">
        <v>44</v>
      </c>
      <c r="I37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3</v>
      </c>
      <c r="F38" s="2" t="s">
        <v>145</v>
      </c>
      <c r="G38" s="12">
        <v>0</v>
      </c>
      <c r="H38" t="s">
        <v>62</v>
      </c>
      <c r="I38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2</v>
      </c>
      <c r="F39" s="2" t="s">
        <v>145</v>
      </c>
      <c r="G39" s="12">
        <v>0</v>
      </c>
      <c r="H39" t="s">
        <v>65</v>
      </c>
      <c r="I39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3</v>
      </c>
      <c r="F40" s="2" t="s">
        <v>145</v>
      </c>
      <c r="G40" s="12">
        <v>1</v>
      </c>
      <c r="H40" t="s">
        <v>55</v>
      </c>
      <c r="I40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0</v>
      </c>
      <c r="F41" s="2" t="s">
        <v>145</v>
      </c>
      <c r="G41" s="12">
        <v>2</v>
      </c>
      <c r="H41" t="s">
        <v>60</v>
      </c>
      <c r="I41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2</v>
      </c>
      <c r="F42" s="2" t="s">
        <v>145</v>
      </c>
      <c r="G42" s="12">
        <v>1</v>
      </c>
      <c r="H42" t="s">
        <v>78</v>
      </c>
      <c r="I42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3</v>
      </c>
      <c r="F43" s="2" t="s">
        <v>145</v>
      </c>
      <c r="G43" s="12">
        <v>1</v>
      </c>
      <c r="H43" t="s">
        <v>72</v>
      </c>
      <c r="I43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2</v>
      </c>
      <c r="F44" s="2" t="s">
        <v>145</v>
      </c>
      <c r="G44" s="12">
        <v>2</v>
      </c>
      <c r="H44" t="s">
        <v>69</v>
      </c>
      <c r="I44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2</v>
      </c>
      <c r="F45" s="2" t="s">
        <v>145</v>
      </c>
      <c r="G45" s="12">
        <v>1</v>
      </c>
      <c r="H45" t="s">
        <v>76</v>
      </c>
      <c r="I45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4</v>
      </c>
      <c r="F46" s="2" t="s">
        <v>145</v>
      </c>
      <c r="G46" s="12">
        <v>1</v>
      </c>
      <c r="H46" t="s">
        <v>91</v>
      </c>
      <c r="I46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3</v>
      </c>
      <c r="F47" s="2" t="s">
        <v>145</v>
      </c>
      <c r="G47" s="12">
        <v>1</v>
      </c>
      <c r="H47" t="s">
        <v>88</v>
      </c>
      <c r="I47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1</v>
      </c>
      <c r="F48" s="2" t="s">
        <v>145</v>
      </c>
      <c r="G48" s="12">
        <v>3</v>
      </c>
      <c r="H48" t="s">
        <v>86</v>
      </c>
      <c r="I48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2</v>
      </c>
      <c r="F49" s="2" t="s">
        <v>145</v>
      </c>
      <c r="G49" s="12">
        <v>0</v>
      </c>
      <c r="H49" t="s">
        <v>83</v>
      </c>
      <c r="I49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1</v>
      </c>
      <c r="F50" s="2" t="s">
        <v>145</v>
      </c>
      <c r="G50" s="12">
        <v>1</v>
      </c>
      <c r="H50" t="s">
        <v>23</v>
      </c>
      <c r="I50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3</v>
      </c>
      <c r="F51" s="2" t="s">
        <v>145</v>
      </c>
      <c r="G51" s="12">
        <v>1</v>
      </c>
      <c r="H51" t="s">
        <v>15</v>
      </c>
      <c r="I51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0</v>
      </c>
      <c r="F52" s="2" t="s">
        <v>145</v>
      </c>
      <c r="G52" s="12">
        <v>3</v>
      </c>
      <c r="H52" t="s">
        <v>27</v>
      </c>
      <c r="I52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2</v>
      </c>
      <c r="F53" s="2" t="s">
        <v>145</v>
      </c>
      <c r="G53" s="12">
        <v>0</v>
      </c>
      <c r="H53" t="s">
        <v>31</v>
      </c>
      <c r="I53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1</v>
      </c>
      <c r="F54" s="2" t="s">
        <v>145</v>
      </c>
      <c r="G54" s="12">
        <v>2</v>
      </c>
      <c r="H54" t="s">
        <v>11</v>
      </c>
      <c r="I54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0</v>
      </c>
      <c r="F55" s="2" t="s">
        <v>145</v>
      </c>
      <c r="G55" s="12">
        <v>2</v>
      </c>
      <c r="H55" t="s">
        <v>6</v>
      </c>
      <c r="I55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0</v>
      </c>
      <c r="F56" s="2" t="s">
        <v>145</v>
      </c>
      <c r="G56" s="12">
        <v>1</v>
      </c>
      <c r="H56" t="s">
        <v>47</v>
      </c>
      <c r="I56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1</v>
      </c>
      <c r="F57" s="2" t="s">
        <v>145</v>
      </c>
      <c r="G57" s="12">
        <v>2</v>
      </c>
      <c r="H57" t="s">
        <v>39</v>
      </c>
      <c r="I57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2</v>
      </c>
      <c r="F58" s="2" t="s">
        <v>145</v>
      </c>
      <c r="G58" s="12">
        <v>1</v>
      </c>
      <c r="H58" t="s">
        <v>51</v>
      </c>
      <c r="I58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0</v>
      </c>
      <c r="F59" s="2" t="s">
        <v>145</v>
      </c>
      <c r="G59" s="12">
        <v>2</v>
      </c>
      <c r="H59" t="s">
        <v>43</v>
      </c>
      <c r="I59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1</v>
      </c>
      <c r="F60" s="2" t="s">
        <v>145</v>
      </c>
      <c r="G60" s="12">
        <v>0</v>
      </c>
      <c r="H60" t="s">
        <v>34</v>
      </c>
      <c r="I60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2</v>
      </c>
      <c r="F61" s="2" t="s">
        <v>145</v>
      </c>
      <c r="G61" s="12">
        <v>2</v>
      </c>
      <c r="H61" t="s">
        <v>19</v>
      </c>
      <c r="I61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1</v>
      </c>
      <c r="F62" s="2" t="s">
        <v>145</v>
      </c>
      <c r="G62" s="12">
        <v>2</v>
      </c>
      <c r="H62" t="s">
        <v>68</v>
      </c>
      <c r="I62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0</v>
      </c>
      <c r="F63" s="2" t="s">
        <v>145</v>
      </c>
      <c r="G63" s="12">
        <v>1</v>
      </c>
      <c r="H63" t="s">
        <v>72</v>
      </c>
      <c r="I63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1</v>
      </c>
      <c r="F64" s="2" t="s">
        <v>145</v>
      </c>
      <c r="G64" s="12">
        <v>1</v>
      </c>
      <c r="H64" t="s">
        <v>62</v>
      </c>
      <c r="I64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1</v>
      </c>
      <c r="F65" s="2" t="s">
        <v>145</v>
      </c>
      <c r="G65" s="12">
        <v>2</v>
      </c>
      <c r="H65" t="s">
        <v>54</v>
      </c>
      <c r="I65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1</v>
      </c>
      <c r="F66" s="2" t="s">
        <v>145</v>
      </c>
      <c r="G66" s="12">
        <v>1</v>
      </c>
      <c r="H66" t="s">
        <v>65</v>
      </c>
      <c r="I66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0</v>
      </c>
      <c r="F67" s="2" t="s">
        <v>145</v>
      </c>
      <c r="G67" s="12">
        <v>3</v>
      </c>
      <c r="H67" t="s">
        <v>59</v>
      </c>
      <c r="I67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2</v>
      </c>
      <c r="F68" s="2" t="s">
        <v>145</v>
      </c>
      <c r="G68" s="12">
        <v>0</v>
      </c>
      <c r="H68" t="s">
        <v>88</v>
      </c>
      <c r="I68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0</v>
      </c>
      <c r="F69" s="2" t="s">
        <v>145</v>
      </c>
      <c r="G69" s="12">
        <v>3</v>
      </c>
      <c r="H69" t="s">
        <v>85</v>
      </c>
      <c r="I69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2</v>
      </c>
      <c r="F70" s="2" t="s">
        <v>145</v>
      </c>
      <c r="G70" s="12">
        <v>3</v>
      </c>
      <c r="H70" t="s">
        <v>82</v>
      </c>
      <c r="I70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0</v>
      </c>
      <c r="F71" s="2" t="s">
        <v>145</v>
      </c>
      <c r="G71" s="12">
        <v>0</v>
      </c>
      <c r="H71" t="s">
        <v>91</v>
      </c>
      <c r="I71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1</v>
      </c>
      <c r="F72" s="2" t="s">
        <v>145</v>
      </c>
      <c r="G72" s="12">
        <v>1</v>
      </c>
      <c r="H72" t="s">
        <v>78</v>
      </c>
      <c r="I72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0</v>
      </c>
      <c r="F73" s="2" t="s">
        <v>145</v>
      </c>
      <c r="G73" s="12">
        <v>4</v>
      </c>
      <c r="H73" t="s">
        <v>75</v>
      </c>
      <c r="I73" s="2">
        <f>IF(OR(Tabela_3350[[#This Row],[Placar Mandante]]="",Tabela_3350[[#This Row],[Placar Visitante]]="",Tabela_3[[#This Row],[Placar Mandante]]="",Tabela_3[[#This Row],[Placar Visitante]]=""),0,
IF(AND(Tabela_3350[[#This Row],[Placar Mandante]]=Tabela_3[[#This Row],[Placar Mandante]],Tabela_3350[[#This Row],[Placar Visitante]]=Tabela_3[[#This Row],[Placar Visitante]]),3,
IF(SIGN(Tabela_3350[[#This Row],[Placar Mandante]]-Tabela_3350[[#This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0460-4E83-4955-9AF5-EE5002CCEEBF}">
  <sheetPr codeName="Planilha23"/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1</v>
      </c>
      <c r="F2" s="2" t="s">
        <v>145</v>
      </c>
      <c r="G2" s="12">
        <v>1</v>
      </c>
      <c r="H2" t="s">
        <v>7</v>
      </c>
      <c r="I2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  <c r="K2" s="3">
        <f>SUM(Tabela_33505[Pontuação])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1</v>
      </c>
      <c r="F3" s="2" t="s">
        <v>145</v>
      </c>
      <c r="G3" s="12">
        <v>0</v>
      </c>
      <c r="H3" t="s">
        <v>12</v>
      </c>
      <c r="I3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2</v>
      </c>
      <c r="F4" s="2" t="s">
        <v>145</v>
      </c>
      <c r="G4" s="12">
        <v>0</v>
      </c>
      <c r="H4" t="s">
        <v>16</v>
      </c>
      <c r="I4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1</v>
      </c>
      <c r="F5" s="2" t="s">
        <v>145</v>
      </c>
      <c r="G5" s="12">
        <v>2</v>
      </c>
      <c r="H5" t="s">
        <v>20</v>
      </c>
      <c r="I5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2</v>
      </c>
      <c r="H6" t="s">
        <v>24</v>
      </c>
      <c r="I6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3</v>
      </c>
      <c r="F7" s="2" t="s">
        <v>145</v>
      </c>
      <c r="G7" s="12">
        <v>0</v>
      </c>
      <c r="H7" t="s">
        <v>28</v>
      </c>
      <c r="I7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1</v>
      </c>
      <c r="F8" s="2" t="s">
        <v>145</v>
      </c>
      <c r="G8" s="12">
        <v>2</v>
      </c>
      <c r="H8" t="s">
        <v>32</v>
      </c>
      <c r="I8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1</v>
      </c>
      <c r="F9" s="2" t="s">
        <v>145</v>
      </c>
      <c r="G9" s="12">
        <v>1</v>
      </c>
      <c r="H9" t="s">
        <v>35</v>
      </c>
      <c r="I9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4</v>
      </c>
      <c r="F10" s="2" t="s">
        <v>145</v>
      </c>
      <c r="G10" s="12">
        <v>0</v>
      </c>
      <c r="H10" t="s">
        <v>40</v>
      </c>
      <c r="I10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2</v>
      </c>
      <c r="F11" s="2" t="s">
        <v>145</v>
      </c>
      <c r="G11" s="12">
        <v>1</v>
      </c>
      <c r="H11" t="s">
        <v>44</v>
      </c>
      <c r="I11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1</v>
      </c>
      <c r="F12" s="2" t="s">
        <v>145</v>
      </c>
      <c r="G12" s="12">
        <v>2</v>
      </c>
      <c r="H12" t="s">
        <v>48</v>
      </c>
      <c r="I12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1</v>
      </c>
      <c r="F13" s="2" t="s">
        <v>145</v>
      </c>
      <c r="G13" s="12">
        <v>0</v>
      </c>
      <c r="H13" t="s">
        <v>52</v>
      </c>
      <c r="I13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3</v>
      </c>
      <c r="F14" s="2" t="s">
        <v>145</v>
      </c>
      <c r="G14" s="12">
        <v>1</v>
      </c>
      <c r="H14" t="s">
        <v>55</v>
      </c>
      <c r="I14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2</v>
      </c>
      <c r="F15" s="2" t="s">
        <v>145</v>
      </c>
      <c r="G15" s="12">
        <v>0</v>
      </c>
      <c r="H15" t="s">
        <v>60</v>
      </c>
      <c r="I15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0</v>
      </c>
      <c r="F16" s="2" t="s">
        <v>145</v>
      </c>
      <c r="G16" s="12">
        <v>3</v>
      </c>
      <c r="H16" t="s">
        <v>63</v>
      </c>
      <c r="I16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1</v>
      </c>
      <c r="F17" s="2" t="s">
        <v>145</v>
      </c>
      <c r="G17" s="12">
        <v>1</v>
      </c>
      <c r="H17" t="s">
        <v>66</v>
      </c>
      <c r="I17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2</v>
      </c>
      <c r="F18" s="2" t="s">
        <v>145</v>
      </c>
      <c r="G18" s="12">
        <v>2</v>
      </c>
      <c r="H18" t="s">
        <v>69</v>
      </c>
      <c r="I18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0</v>
      </c>
      <c r="F19" s="2" t="s">
        <v>145</v>
      </c>
      <c r="G19" s="12">
        <v>2</v>
      </c>
      <c r="H19" t="s">
        <v>73</v>
      </c>
      <c r="I19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5</v>
      </c>
      <c r="F20" s="2" t="s">
        <v>145</v>
      </c>
      <c r="G20" s="12">
        <v>1</v>
      </c>
      <c r="H20" t="s">
        <v>76</v>
      </c>
      <c r="I20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1</v>
      </c>
      <c r="F21" s="2" t="s">
        <v>145</v>
      </c>
      <c r="G21" s="12">
        <v>0</v>
      </c>
      <c r="H21" t="s">
        <v>79</v>
      </c>
      <c r="I21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2</v>
      </c>
      <c r="F22" s="2" t="s">
        <v>145</v>
      </c>
      <c r="G22" s="12">
        <v>0</v>
      </c>
      <c r="H22" t="s">
        <v>83</v>
      </c>
      <c r="I22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3</v>
      </c>
      <c r="F23" s="2" t="s">
        <v>145</v>
      </c>
      <c r="G23" s="12">
        <v>2</v>
      </c>
      <c r="H23" t="s">
        <v>86</v>
      </c>
      <c r="I23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2</v>
      </c>
      <c r="F24" s="2" t="s">
        <v>145</v>
      </c>
      <c r="G24" s="12">
        <v>0</v>
      </c>
      <c r="H24" t="s">
        <v>89</v>
      </c>
      <c r="I24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2</v>
      </c>
      <c r="H25" t="s">
        <v>92</v>
      </c>
      <c r="I25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2</v>
      </c>
      <c r="F26" s="2" t="s">
        <v>145</v>
      </c>
      <c r="G26" s="12">
        <v>2</v>
      </c>
      <c r="H26" t="s">
        <v>7</v>
      </c>
      <c r="I26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1</v>
      </c>
      <c r="F27" s="2" t="s">
        <v>145</v>
      </c>
      <c r="G27" s="12">
        <v>0</v>
      </c>
      <c r="H27" t="s">
        <v>16</v>
      </c>
      <c r="I27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2</v>
      </c>
      <c r="F28" s="2" t="s">
        <v>145</v>
      </c>
      <c r="G28" s="12">
        <v>1</v>
      </c>
      <c r="H28" t="s">
        <v>23</v>
      </c>
      <c r="I28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3</v>
      </c>
      <c r="F29" s="2" t="s">
        <v>145</v>
      </c>
      <c r="G29" s="12">
        <v>1</v>
      </c>
      <c r="H29" t="s">
        <v>11</v>
      </c>
      <c r="I29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0</v>
      </c>
      <c r="F30" s="2" t="s">
        <v>145</v>
      </c>
      <c r="G30" s="12">
        <v>0</v>
      </c>
      <c r="H30" t="s">
        <v>34</v>
      </c>
      <c r="I30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1</v>
      </c>
      <c r="F31" s="2" t="s">
        <v>145</v>
      </c>
      <c r="G31" s="12">
        <v>2</v>
      </c>
      <c r="H31" t="s">
        <v>28</v>
      </c>
      <c r="I31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3</v>
      </c>
      <c r="F32" s="2" t="s">
        <v>145</v>
      </c>
      <c r="G32" s="12">
        <v>0</v>
      </c>
      <c r="H32" t="s">
        <v>31</v>
      </c>
      <c r="I32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1</v>
      </c>
      <c r="F33" s="2" t="s">
        <v>145</v>
      </c>
      <c r="G33" s="12">
        <v>2</v>
      </c>
      <c r="H33" t="s">
        <v>20</v>
      </c>
      <c r="I33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2</v>
      </c>
      <c r="F34" s="2" t="s">
        <v>145</v>
      </c>
      <c r="G34" s="12">
        <v>2</v>
      </c>
      <c r="H34" t="s">
        <v>51</v>
      </c>
      <c r="I34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4</v>
      </c>
      <c r="F35" s="2" t="s">
        <v>145</v>
      </c>
      <c r="G35" s="12">
        <v>1</v>
      </c>
      <c r="H35" t="s">
        <v>47</v>
      </c>
      <c r="I35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2</v>
      </c>
      <c r="F36" s="2" t="s">
        <v>145</v>
      </c>
      <c r="G36" s="12">
        <v>0</v>
      </c>
      <c r="H36" t="s">
        <v>40</v>
      </c>
      <c r="I36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1</v>
      </c>
      <c r="F37" s="2" t="s">
        <v>145</v>
      </c>
      <c r="G37" s="12">
        <v>1</v>
      </c>
      <c r="H37" t="s">
        <v>44</v>
      </c>
      <c r="I37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3</v>
      </c>
      <c r="F38" s="2" t="s">
        <v>145</v>
      </c>
      <c r="G38" s="12">
        <v>0</v>
      </c>
      <c r="H38" t="s">
        <v>62</v>
      </c>
      <c r="I38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2</v>
      </c>
      <c r="F39" s="2" t="s">
        <v>145</v>
      </c>
      <c r="G39" s="12">
        <v>1</v>
      </c>
      <c r="H39" t="s">
        <v>65</v>
      </c>
      <c r="I39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3</v>
      </c>
      <c r="F40" s="2" t="s">
        <v>145</v>
      </c>
      <c r="G40" s="12">
        <v>0</v>
      </c>
      <c r="H40" t="s">
        <v>55</v>
      </c>
      <c r="I40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0</v>
      </c>
      <c r="F41" s="2" t="s">
        <v>145</v>
      </c>
      <c r="G41" s="12">
        <v>1</v>
      </c>
      <c r="H41" t="s">
        <v>60</v>
      </c>
      <c r="I41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2</v>
      </c>
      <c r="F42" s="2" t="s">
        <v>145</v>
      </c>
      <c r="G42" s="12">
        <v>2</v>
      </c>
      <c r="H42" t="s">
        <v>78</v>
      </c>
      <c r="I42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2</v>
      </c>
      <c r="F43" s="2" t="s">
        <v>145</v>
      </c>
      <c r="G43" s="12">
        <v>1</v>
      </c>
      <c r="H43" t="s">
        <v>72</v>
      </c>
      <c r="I43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0</v>
      </c>
      <c r="F44" s="2" t="s">
        <v>145</v>
      </c>
      <c r="G44" s="12">
        <v>2</v>
      </c>
      <c r="H44" t="s">
        <v>69</v>
      </c>
      <c r="I44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1</v>
      </c>
      <c r="F45" s="2" t="s">
        <v>145</v>
      </c>
      <c r="G45" s="12">
        <v>1</v>
      </c>
      <c r="H45" t="s">
        <v>76</v>
      </c>
      <c r="I45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3</v>
      </c>
      <c r="F46" s="2" t="s">
        <v>145</v>
      </c>
      <c r="G46" s="12">
        <v>1</v>
      </c>
      <c r="H46" t="s">
        <v>91</v>
      </c>
      <c r="I46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2</v>
      </c>
      <c r="F47" s="2" t="s">
        <v>145</v>
      </c>
      <c r="G47" s="12">
        <v>0</v>
      </c>
      <c r="H47" t="s">
        <v>88</v>
      </c>
      <c r="I47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0</v>
      </c>
      <c r="F48" s="2" t="s">
        <v>145</v>
      </c>
      <c r="G48" s="12">
        <v>3</v>
      </c>
      <c r="H48" t="s">
        <v>86</v>
      </c>
      <c r="I48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2</v>
      </c>
      <c r="F49" s="2" t="s">
        <v>145</v>
      </c>
      <c r="G49" s="12">
        <v>0</v>
      </c>
      <c r="H49" t="s">
        <v>83</v>
      </c>
      <c r="I49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0</v>
      </c>
      <c r="F50" s="2" t="s">
        <v>145</v>
      </c>
      <c r="G50" s="12">
        <v>0</v>
      </c>
      <c r="H50" t="s">
        <v>23</v>
      </c>
      <c r="I50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1</v>
      </c>
      <c r="F51" s="2" t="s">
        <v>145</v>
      </c>
      <c r="G51" s="12">
        <v>1</v>
      </c>
      <c r="H51" t="s">
        <v>15</v>
      </c>
      <c r="I51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1</v>
      </c>
      <c r="F52" s="2" t="s">
        <v>145</v>
      </c>
      <c r="G52" s="12">
        <v>2</v>
      </c>
      <c r="H52" t="s">
        <v>27</v>
      </c>
      <c r="I52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2</v>
      </c>
      <c r="F53" s="2" t="s">
        <v>145</v>
      </c>
      <c r="G53" s="12">
        <v>0</v>
      </c>
      <c r="H53" t="s">
        <v>31</v>
      </c>
      <c r="I53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2</v>
      </c>
      <c r="F54" s="2" t="s">
        <v>145</v>
      </c>
      <c r="G54" s="12">
        <v>1</v>
      </c>
      <c r="H54" t="s">
        <v>11</v>
      </c>
      <c r="I54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1</v>
      </c>
      <c r="F55" s="2" t="s">
        <v>145</v>
      </c>
      <c r="G55" s="12">
        <v>2</v>
      </c>
      <c r="H55" t="s">
        <v>6</v>
      </c>
      <c r="I55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0</v>
      </c>
      <c r="F56" s="2" t="s">
        <v>145</v>
      </c>
      <c r="G56" s="12">
        <v>1</v>
      </c>
      <c r="H56" t="s">
        <v>47</v>
      </c>
      <c r="I56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1</v>
      </c>
      <c r="F57" s="2" t="s">
        <v>145</v>
      </c>
      <c r="G57" s="12">
        <v>3</v>
      </c>
      <c r="H57" t="s">
        <v>39</v>
      </c>
      <c r="I57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2</v>
      </c>
      <c r="F58" s="2" t="s">
        <v>145</v>
      </c>
      <c r="G58" s="12">
        <v>1</v>
      </c>
      <c r="H58" t="s">
        <v>51</v>
      </c>
      <c r="I58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1</v>
      </c>
      <c r="F59" s="2" t="s">
        <v>145</v>
      </c>
      <c r="G59" s="12">
        <v>3</v>
      </c>
      <c r="H59" t="s">
        <v>43</v>
      </c>
      <c r="I59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1</v>
      </c>
      <c r="F60" s="2" t="s">
        <v>145</v>
      </c>
      <c r="G60" s="12">
        <v>2</v>
      </c>
      <c r="H60" t="s">
        <v>34</v>
      </c>
      <c r="I60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1</v>
      </c>
      <c r="F61" s="2" t="s">
        <v>145</v>
      </c>
      <c r="G61" s="12">
        <v>2</v>
      </c>
      <c r="H61" t="s">
        <v>19</v>
      </c>
      <c r="I61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0</v>
      </c>
      <c r="F62" s="2" t="s">
        <v>145</v>
      </c>
      <c r="G62" s="12">
        <v>3</v>
      </c>
      <c r="H62" t="s">
        <v>68</v>
      </c>
      <c r="I62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3</v>
      </c>
      <c r="F63" s="2" t="s">
        <v>145</v>
      </c>
      <c r="G63" s="12">
        <v>0</v>
      </c>
      <c r="H63" t="s">
        <v>72</v>
      </c>
      <c r="I63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1</v>
      </c>
      <c r="F64" s="2" t="s">
        <v>145</v>
      </c>
      <c r="G64" s="12">
        <v>3</v>
      </c>
      <c r="H64" t="s">
        <v>62</v>
      </c>
      <c r="I64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1</v>
      </c>
      <c r="F65" s="2" t="s">
        <v>145</v>
      </c>
      <c r="G65" s="12">
        <v>1</v>
      </c>
      <c r="H65" t="s">
        <v>54</v>
      </c>
      <c r="I65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0</v>
      </c>
      <c r="F66" s="2" t="s">
        <v>145</v>
      </c>
      <c r="G66" s="12">
        <v>1</v>
      </c>
      <c r="H66" t="s">
        <v>65</v>
      </c>
      <c r="I66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0</v>
      </c>
      <c r="F67" s="2" t="s">
        <v>145</v>
      </c>
      <c r="G67" s="12">
        <v>3</v>
      </c>
      <c r="H67" t="s">
        <v>59</v>
      </c>
      <c r="I67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2</v>
      </c>
      <c r="F68" s="2" t="s">
        <v>145</v>
      </c>
      <c r="G68" s="12">
        <v>0</v>
      </c>
      <c r="H68" t="s">
        <v>88</v>
      </c>
      <c r="I68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0</v>
      </c>
      <c r="F69" s="2" t="s">
        <v>145</v>
      </c>
      <c r="G69" s="12">
        <v>2</v>
      </c>
      <c r="H69" t="s">
        <v>85</v>
      </c>
      <c r="I69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1</v>
      </c>
      <c r="F70" s="2" t="s">
        <v>145</v>
      </c>
      <c r="G70" s="12">
        <v>1</v>
      </c>
      <c r="H70" t="s">
        <v>82</v>
      </c>
      <c r="I70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0</v>
      </c>
      <c r="F71" s="2" t="s">
        <v>145</v>
      </c>
      <c r="G71" s="12">
        <v>0</v>
      </c>
      <c r="H71" t="s">
        <v>91</v>
      </c>
      <c r="I71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0</v>
      </c>
      <c r="F72" s="2" t="s">
        <v>145</v>
      </c>
      <c r="G72" s="12">
        <v>2</v>
      </c>
      <c r="H72" t="s">
        <v>78</v>
      </c>
      <c r="I72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0</v>
      </c>
      <c r="F73" s="2" t="s">
        <v>145</v>
      </c>
      <c r="G73" s="12">
        <v>5</v>
      </c>
      <c r="H73" t="s">
        <v>75</v>
      </c>
      <c r="I73" s="2">
        <f>IF(OR(Tabela_33505[[#This Row],[Placar Mandante]]="",Tabela_33505[[#This Row],[Placar Visitante]]="",Tabela_3[[#This Row],[Placar Mandante]]="",Tabela_3[[#This Row],[Placar Visitante]]=""),0,
IF(AND(Tabela_33505[[#This Row],[Placar Mandante]]=Tabela_3[[#This Row],[Placar Mandante]],Tabela_33505[[#This Row],[Placar Visitante]]=Tabela_3[[#This Row],[Placar Visitante]]),3,
IF(SIGN(Tabela_33505[[#This Row],[Placar Mandante]]-Tabela_33505[[#This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2C28-3EEC-4F00-99AD-0489CA660596}">
  <dimension ref="A1:K73"/>
  <sheetViews>
    <sheetView topLeftCell="B1" zoomScaleNormal="100" workbookViewId="0">
      <selection activeCell="H75" sqref="H75"/>
    </sheetView>
  </sheetViews>
  <sheetFormatPr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1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J1" s="41"/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2</v>
      </c>
      <c r="H2" t="s">
        <v>7</v>
      </c>
      <c r="I2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  <c r="J2" s="42"/>
      <c r="K2" s="3">
        <f>SUM(Tabela_33411[Pontuação])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2</v>
      </c>
      <c r="F3" s="12" t="s">
        <v>145</v>
      </c>
      <c r="G3" s="12">
        <v>2</v>
      </c>
      <c r="H3" t="s">
        <v>12</v>
      </c>
      <c r="I3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  <c r="J3" s="43"/>
      <c r="K3" s="41"/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1</v>
      </c>
      <c r="H4" t="s">
        <v>16</v>
      </c>
      <c r="I4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  <c r="J4" s="41"/>
      <c r="K4" s="41"/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2</v>
      </c>
      <c r="F5" s="12" t="s">
        <v>145</v>
      </c>
      <c r="G5" s="12">
        <v>1</v>
      </c>
      <c r="H5" t="s">
        <v>20</v>
      </c>
      <c r="I5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  <c r="J5" s="44"/>
      <c r="K5" s="41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1</v>
      </c>
      <c r="H6" t="s">
        <v>24</v>
      </c>
      <c r="I6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  <c r="J6" s="45"/>
      <c r="K6" s="41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3</v>
      </c>
      <c r="F7" s="12" t="s">
        <v>145</v>
      </c>
      <c r="G7" s="12">
        <v>1</v>
      </c>
      <c r="H7" t="s">
        <v>28</v>
      </c>
      <c r="I7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  <c r="J7" s="41"/>
      <c r="K7" s="41"/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3</v>
      </c>
      <c r="H8" t="s">
        <v>32</v>
      </c>
      <c r="I8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  <c r="J8" s="46"/>
      <c r="K8" s="4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0</v>
      </c>
      <c r="F9" s="12" t="s">
        <v>145</v>
      </c>
      <c r="G9" s="12">
        <v>2</v>
      </c>
      <c r="H9" t="s">
        <v>35</v>
      </c>
      <c r="I9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  <c r="J9" s="41"/>
      <c r="K9" s="41"/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3</v>
      </c>
      <c r="F10" s="12" t="s">
        <v>145</v>
      </c>
      <c r="G10" s="12">
        <v>0</v>
      </c>
      <c r="H10" t="s">
        <v>40</v>
      </c>
      <c r="I10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1</v>
      </c>
      <c r="H11" t="s">
        <v>44</v>
      </c>
      <c r="I11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2</v>
      </c>
      <c r="H12" t="s">
        <v>48</v>
      </c>
      <c r="I12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2</v>
      </c>
      <c r="F13" s="12" t="s">
        <v>145</v>
      </c>
      <c r="G13" s="12">
        <v>0</v>
      </c>
      <c r="H13" t="s">
        <v>52</v>
      </c>
      <c r="I13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0</v>
      </c>
      <c r="H14" t="s">
        <v>55</v>
      </c>
      <c r="I14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0</v>
      </c>
      <c r="H15" t="s">
        <v>60</v>
      </c>
      <c r="I15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1</v>
      </c>
      <c r="F16" s="12" t="s">
        <v>145</v>
      </c>
      <c r="G16" s="12">
        <v>2</v>
      </c>
      <c r="H16" t="s">
        <v>63</v>
      </c>
      <c r="I16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1</v>
      </c>
      <c r="H17" t="s">
        <v>66</v>
      </c>
      <c r="I17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3</v>
      </c>
      <c r="F18" s="12" t="s">
        <v>145</v>
      </c>
      <c r="G18" s="12">
        <v>0</v>
      </c>
      <c r="H18" t="s">
        <v>69</v>
      </c>
      <c r="I18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1</v>
      </c>
      <c r="F19" s="12" t="s">
        <v>145</v>
      </c>
      <c r="G19" s="12">
        <v>2</v>
      </c>
      <c r="H19" t="s">
        <v>73</v>
      </c>
      <c r="I19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0</v>
      </c>
      <c r="H20" t="s">
        <v>76</v>
      </c>
      <c r="I20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1</v>
      </c>
      <c r="F21" s="12" t="s">
        <v>145</v>
      </c>
      <c r="G21" s="12">
        <v>0</v>
      </c>
      <c r="H21" t="s">
        <v>79</v>
      </c>
      <c r="I21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1</v>
      </c>
      <c r="H22" t="s">
        <v>83</v>
      </c>
      <c r="I22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1</v>
      </c>
      <c r="H23" t="s">
        <v>86</v>
      </c>
      <c r="I23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0</v>
      </c>
      <c r="H24" t="s">
        <v>89</v>
      </c>
      <c r="I24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0</v>
      </c>
      <c r="F26" s="12" t="s">
        <v>145</v>
      </c>
      <c r="G26" s="12">
        <v>1</v>
      </c>
      <c r="H26" t="s">
        <v>7</v>
      </c>
      <c r="I26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1</v>
      </c>
      <c r="F27" s="12" t="s">
        <v>145</v>
      </c>
      <c r="G27" s="12">
        <v>0</v>
      </c>
      <c r="H27" t="s">
        <v>16</v>
      </c>
      <c r="I27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1</v>
      </c>
      <c r="H28" t="s">
        <v>23</v>
      </c>
      <c r="I28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1</v>
      </c>
      <c r="H30" t="s">
        <v>34</v>
      </c>
      <c r="I30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2</v>
      </c>
      <c r="F31" s="12" t="s">
        <v>145</v>
      </c>
      <c r="G31" s="12">
        <v>0</v>
      </c>
      <c r="H31" t="s">
        <v>28</v>
      </c>
      <c r="I31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3</v>
      </c>
      <c r="F32" s="12" t="s">
        <v>145</v>
      </c>
      <c r="G32" s="12">
        <v>0</v>
      </c>
      <c r="H32" t="s">
        <v>31</v>
      </c>
      <c r="I32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2</v>
      </c>
      <c r="H33" t="s">
        <v>20</v>
      </c>
      <c r="I33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1</v>
      </c>
      <c r="H34" t="s">
        <v>51</v>
      </c>
      <c r="I34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1</v>
      </c>
      <c r="H35" t="s">
        <v>47</v>
      </c>
      <c r="I35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0</v>
      </c>
      <c r="F37" s="12" t="s">
        <v>145</v>
      </c>
      <c r="G37" s="12">
        <v>2</v>
      </c>
      <c r="H37" t="s">
        <v>44</v>
      </c>
      <c r="I37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1</v>
      </c>
      <c r="H38" t="s">
        <v>62</v>
      </c>
      <c r="I38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1</v>
      </c>
      <c r="H39" t="s">
        <v>65</v>
      </c>
      <c r="I39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0</v>
      </c>
      <c r="H40" t="s">
        <v>55</v>
      </c>
      <c r="I40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1</v>
      </c>
      <c r="F41" s="12" t="s">
        <v>145</v>
      </c>
      <c r="G41" s="12">
        <v>1</v>
      </c>
      <c r="H41" t="s">
        <v>60</v>
      </c>
      <c r="I41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3</v>
      </c>
      <c r="F42" s="12" t="s">
        <v>145</v>
      </c>
      <c r="G42" s="12">
        <v>1</v>
      </c>
      <c r="H42" t="s">
        <v>78</v>
      </c>
      <c r="I42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2</v>
      </c>
      <c r="F44" s="12" t="s">
        <v>145</v>
      </c>
      <c r="G44" s="12">
        <v>0</v>
      </c>
      <c r="H44" t="s">
        <v>69</v>
      </c>
      <c r="I44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1</v>
      </c>
      <c r="H45" t="s">
        <v>76</v>
      </c>
      <c r="I45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1</v>
      </c>
      <c r="H46" t="s">
        <v>91</v>
      </c>
      <c r="I46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0</v>
      </c>
      <c r="H47" t="s">
        <v>88</v>
      </c>
      <c r="I47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1</v>
      </c>
      <c r="F48" s="12" t="s">
        <v>145</v>
      </c>
      <c r="G48" s="12">
        <v>2</v>
      </c>
      <c r="H48" t="s">
        <v>86</v>
      </c>
      <c r="I48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3</v>
      </c>
      <c r="F49" s="12" t="s">
        <v>145</v>
      </c>
      <c r="G49" s="12">
        <v>1</v>
      </c>
      <c r="H49" t="s">
        <v>83</v>
      </c>
      <c r="I49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0</v>
      </c>
      <c r="H50" t="s">
        <v>23</v>
      </c>
      <c r="I50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1</v>
      </c>
      <c r="H51" t="s">
        <v>15</v>
      </c>
      <c r="I51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1</v>
      </c>
      <c r="F52" s="12" t="s">
        <v>145</v>
      </c>
      <c r="G52" s="12">
        <v>2</v>
      </c>
      <c r="H52" t="s">
        <v>27</v>
      </c>
      <c r="I52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2</v>
      </c>
      <c r="F53" s="12" t="s">
        <v>145</v>
      </c>
      <c r="G53" s="12">
        <v>0</v>
      </c>
      <c r="H53" t="s">
        <v>31</v>
      </c>
      <c r="I53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1</v>
      </c>
      <c r="H54" t="s">
        <v>11</v>
      </c>
      <c r="I54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2</v>
      </c>
      <c r="H55" t="s">
        <v>6</v>
      </c>
      <c r="I55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2</v>
      </c>
      <c r="H56" t="s">
        <v>47</v>
      </c>
      <c r="I56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2</v>
      </c>
      <c r="F57" s="12" t="s">
        <v>145</v>
      </c>
      <c r="G57" s="12">
        <v>2</v>
      </c>
      <c r="H57" t="s">
        <v>39</v>
      </c>
      <c r="I57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1</v>
      </c>
      <c r="H58" t="s">
        <v>51</v>
      </c>
      <c r="I58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2</v>
      </c>
      <c r="H59" t="s">
        <v>43</v>
      </c>
      <c r="I59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2</v>
      </c>
      <c r="F60" s="12" t="s">
        <v>145</v>
      </c>
      <c r="G60" s="12">
        <v>1</v>
      </c>
      <c r="H60" t="s">
        <v>34</v>
      </c>
      <c r="I60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3</v>
      </c>
      <c r="H61" t="s">
        <v>19</v>
      </c>
      <c r="I61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2</v>
      </c>
      <c r="H62" t="s">
        <v>68</v>
      </c>
      <c r="I62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1</v>
      </c>
      <c r="H63" t="s">
        <v>72</v>
      </c>
      <c r="I63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1</v>
      </c>
      <c r="H64" t="s">
        <v>62</v>
      </c>
      <c r="I64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2</v>
      </c>
      <c r="F65" s="12" t="s">
        <v>145</v>
      </c>
      <c r="G65" s="12">
        <v>2</v>
      </c>
      <c r="H65" t="s">
        <v>54</v>
      </c>
      <c r="I65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1</v>
      </c>
      <c r="H66" t="s">
        <v>65</v>
      </c>
      <c r="I66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2</v>
      </c>
      <c r="H67" t="s">
        <v>59</v>
      </c>
      <c r="I67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1</v>
      </c>
      <c r="H68" t="s">
        <v>88</v>
      </c>
      <c r="I68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2</v>
      </c>
      <c r="H69" t="s">
        <v>85</v>
      </c>
      <c r="I69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2</v>
      </c>
      <c r="H70" t="s">
        <v>82</v>
      </c>
      <c r="I70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1</v>
      </c>
      <c r="H71" t="s">
        <v>91</v>
      </c>
      <c r="I71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2</v>
      </c>
      <c r="H73" t="s">
        <v>75</v>
      </c>
      <c r="I73" s="12">
        <f>IF(OR(Tabela_33411[[#This Row],[Placar Mandante]]="",Tabela_33411[[#This Row],[Placar Visitante]]="",Tabela_3[[#This Row],[Placar Mandante]]="",Tabela_3[[#This Row],[Placar Visitante]]=""),0,
IF(AND(Tabela_33411[[#This Row],[Placar Mandante]]=Tabela_3[[#This Row],[Placar Mandante]],Tabela_33411[[#This Row],[Placar Visitante]]=Tabela_3[[#This Row],[Placar Visitante]]),3,
IF(SIGN(Tabela_33411[[#This Row],[Placar Mandante]]-Tabela_33411[[#This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AC7C-2D93-4768-912C-D1AC9BF0272C}">
  <dimension ref="A1:K73"/>
  <sheetViews>
    <sheetView topLeftCell="C1" zoomScaleNormal="100" workbookViewId="0">
      <selection activeCell="H75" sqref="H75"/>
    </sheetView>
  </sheetViews>
  <sheetFormatPr defaultColWidth="8.88671875"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1.4414062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1</v>
      </c>
      <c r="H2" t="s">
        <v>7</v>
      </c>
      <c r="I2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  <c r="J2" s="13"/>
      <c r="K2" s="3">
        <f>SUM(Tabela_33468[Pontuação])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3</v>
      </c>
      <c r="F3" s="12" t="s">
        <v>145</v>
      </c>
      <c r="G3" s="12">
        <v>1</v>
      </c>
      <c r="H3" t="s">
        <v>12</v>
      </c>
      <c r="I3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0</v>
      </c>
      <c r="H4" t="s">
        <v>16</v>
      </c>
      <c r="I4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2</v>
      </c>
      <c r="F5" s="12" t="s">
        <v>145</v>
      </c>
      <c r="G5" s="12">
        <v>2</v>
      </c>
      <c r="H5" t="s">
        <v>20</v>
      </c>
      <c r="I5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1</v>
      </c>
      <c r="F6" s="12" t="s">
        <v>145</v>
      </c>
      <c r="G6" s="12">
        <v>2</v>
      </c>
      <c r="H6" t="s">
        <v>24</v>
      </c>
      <c r="I6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3</v>
      </c>
      <c r="F7" s="12" t="s">
        <v>145</v>
      </c>
      <c r="G7" s="12">
        <v>0</v>
      </c>
      <c r="H7" t="s">
        <v>28</v>
      </c>
      <c r="I7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2</v>
      </c>
      <c r="F8" s="12" t="s">
        <v>145</v>
      </c>
      <c r="G8" s="12">
        <v>1</v>
      </c>
      <c r="H8" t="s">
        <v>32</v>
      </c>
      <c r="I8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0</v>
      </c>
      <c r="H9" t="s">
        <v>35</v>
      </c>
      <c r="I9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4</v>
      </c>
      <c r="F10" s="12" t="s">
        <v>145</v>
      </c>
      <c r="G10" s="12">
        <v>0</v>
      </c>
      <c r="H10" t="s">
        <v>40</v>
      </c>
      <c r="I10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0</v>
      </c>
      <c r="F11" s="12" t="s">
        <v>145</v>
      </c>
      <c r="G11" s="12">
        <v>2</v>
      </c>
      <c r="H11" t="s">
        <v>44</v>
      </c>
      <c r="I11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2</v>
      </c>
      <c r="H12" t="s">
        <v>48</v>
      </c>
      <c r="I12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3</v>
      </c>
      <c r="F13" s="12" t="s">
        <v>145</v>
      </c>
      <c r="G13" s="12">
        <v>1</v>
      </c>
      <c r="H13" t="s">
        <v>52</v>
      </c>
      <c r="I13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0</v>
      </c>
      <c r="H14" t="s">
        <v>55</v>
      </c>
      <c r="I14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3</v>
      </c>
      <c r="F15" s="12" t="s">
        <v>145</v>
      </c>
      <c r="G15" s="12">
        <v>1</v>
      </c>
      <c r="H15" t="s">
        <v>60</v>
      </c>
      <c r="I15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2</v>
      </c>
      <c r="F16" s="12" t="s">
        <v>145</v>
      </c>
      <c r="G16" s="12">
        <v>3</v>
      </c>
      <c r="H16" t="s">
        <v>63</v>
      </c>
      <c r="I16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2</v>
      </c>
      <c r="F17" s="12" t="s">
        <v>145</v>
      </c>
      <c r="G17" s="12">
        <v>2</v>
      </c>
      <c r="H17" t="s">
        <v>66</v>
      </c>
      <c r="I17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3</v>
      </c>
      <c r="F18" s="12" t="s">
        <v>145</v>
      </c>
      <c r="G18" s="12">
        <v>0</v>
      </c>
      <c r="H18" t="s">
        <v>69</v>
      </c>
      <c r="I18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1</v>
      </c>
      <c r="F19" s="12" t="s">
        <v>145</v>
      </c>
      <c r="G19" s="12">
        <v>2</v>
      </c>
      <c r="H19" t="s">
        <v>73</v>
      </c>
      <c r="I19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4</v>
      </c>
      <c r="F20" s="12" t="s">
        <v>145</v>
      </c>
      <c r="G20" s="12">
        <v>1</v>
      </c>
      <c r="H20" t="s">
        <v>76</v>
      </c>
      <c r="I20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0</v>
      </c>
      <c r="H21" t="s">
        <v>79</v>
      </c>
      <c r="I21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5</v>
      </c>
      <c r="F22" s="12" t="s">
        <v>145</v>
      </c>
      <c r="G22" s="12">
        <v>0</v>
      </c>
      <c r="H22" t="s">
        <v>83</v>
      </c>
      <c r="I22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3</v>
      </c>
      <c r="F23" s="12" t="s">
        <v>145</v>
      </c>
      <c r="G23" s="12">
        <v>0</v>
      </c>
      <c r="H23" t="s">
        <v>86</v>
      </c>
      <c r="I23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1</v>
      </c>
      <c r="H24" t="s">
        <v>89</v>
      </c>
      <c r="I24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1</v>
      </c>
      <c r="F26" s="12" t="s">
        <v>145</v>
      </c>
      <c r="G26" s="12">
        <v>2</v>
      </c>
      <c r="H26" t="s">
        <v>7</v>
      </c>
      <c r="I26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0</v>
      </c>
      <c r="H27" t="s">
        <v>16</v>
      </c>
      <c r="I27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1</v>
      </c>
      <c r="H28" t="s">
        <v>23</v>
      </c>
      <c r="I28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1</v>
      </c>
      <c r="H30" t="s">
        <v>34</v>
      </c>
      <c r="I30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1</v>
      </c>
      <c r="H31" t="s">
        <v>28</v>
      </c>
      <c r="I31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3</v>
      </c>
      <c r="F32" s="12" t="s">
        <v>145</v>
      </c>
      <c r="G32" s="12">
        <v>1</v>
      </c>
      <c r="H32" t="s">
        <v>31</v>
      </c>
      <c r="I32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3</v>
      </c>
      <c r="H33" t="s">
        <v>20</v>
      </c>
      <c r="I33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0</v>
      </c>
      <c r="F34" s="12" t="s">
        <v>145</v>
      </c>
      <c r="G34" s="12">
        <v>3</v>
      </c>
      <c r="H34" t="s">
        <v>51</v>
      </c>
      <c r="I34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3</v>
      </c>
      <c r="F35" s="12" t="s">
        <v>145</v>
      </c>
      <c r="G35" s="12">
        <v>1</v>
      </c>
      <c r="H35" t="s">
        <v>47</v>
      </c>
      <c r="I35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2</v>
      </c>
      <c r="H37" t="s">
        <v>44</v>
      </c>
      <c r="I37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1</v>
      </c>
      <c r="H38" t="s">
        <v>62</v>
      </c>
      <c r="I38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0</v>
      </c>
      <c r="H39" t="s">
        <v>65</v>
      </c>
      <c r="I39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4</v>
      </c>
      <c r="F40" s="12" t="s">
        <v>145</v>
      </c>
      <c r="G40" s="12">
        <v>0</v>
      </c>
      <c r="H40" t="s">
        <v>55</v>
      </c>
      <c r="I40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2</v>
      </c>
      <c r="H41" t="s">
        <v>60</v>
      </c>
      <c r="I41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1</v>
      </c>
      <c r="H42" t="s">
        <v>78</v>
      </c>
      <c r="I42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1</v>
      </c>
      <c r="H43" t="s">
        <v>72</v>
      </c>
      <c r="I43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2</v>
      </c>
      <c r="F44" s="12" t="s">
        <v>145</v>
      </c>
      <c r="G44" s="12">
        <v>0</v>
      </c>
      <c r="H44" t="s">
        <v>69</v>
      </c>
      <c r="I44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1</v>
      </c>
      <c r="H45" t="s">
        <v>76</v>
      </c>
      <c r="I45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4</v>
      </c>
      <c r="F46" s="12" t="s">
        <v>145</v>
      </c>
      <c r="G46" s="12">
        <v>0</v>
      </c>
      <c r="H46" t="s">
        <v>91</v>
      </c>
      <c r="I46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3</v>
      </c>
      <c r="F47" s="12" t="s">
        <v>145</v>
      </c>
      <c r="G47" s="12">
        <v>1</v>
      </c>
      <c r="H47" t="s">
        <v>88</v>
      </c>
      <c r="I47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0</v>
      </c>
      <c r="H49" t="s">
        <v>83</v>
      </c>
      <c r="I49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2</v>
      </c>
      <c r="H50" t="s">
        <v>23</v>
      </c>
      <c r="I50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2</v>
      </c>
      <c r="F51" s="12" t="s">
        <v>145</v>
      </c>
      <c r="G51" s="12">
        <v>0</v>
      </c>
      <c r="H51" t="s">
        <v>15</v>
      </c>
      <c r="I51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1</v>
      </c>
      <c r="F52" s="12" t="s">
        <v>145</v>
      </c>
      <c r="G52" s="12">
        <v>3</v>
      </c>
      <c r="H52" t="s">
        <v>27</v>
      </c>
      <c r="I52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0</v>
      </c>
      <c r="F53" s="12" t="s">
        <v>145</v>
      </c>
      <c r="G53" s="12">
        <v>2</v>
      </c>
      <c r="H53" t="s">
        <v>31</v>
      </c>
      <c r="I53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2</v>
      </c>
      <c r="F54" s="12" t="s">
        <v>145</v>
      </c>
      <c r="G54" s="12">
        <v>1</v>
      </c>
      <c r="H54" t="s">
        <v>11</v>
      </c>
      <c r="I54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0</v>
      </c>
      <c r="F55" s="12" t="s">
        <v>145</v>
      </c>
      <c r="G55" s="12">
        <v>2</v>
      </c>
      <c r="H55" t="s">
        <v>6</v>
      </c>
      <c r="I55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2</v>
      </c>
      <c r="F56" s="12" t="s">
        <v>145</v>
      </c>
      <c r="G56" s="12">
        <v>1</v>
      </c>
      <c r="H56" t="s">
        <v>47</v>
      </c>
      <c r="I56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2</v>
      </c>
      <c r="F57" s="12" t="s">
        <v>145</v>
      </c>
      <c r="G57" s="12">
        <v>4</v>
      </c>
      <c r="H57" t="s">
        <v>39</v>
      </c>
      <c r="I57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3</v>
      </c>
      <c r="H58" t="s">
        <v>51</v>
      </c>
      <c r="I58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2</v>
      </c>
      <c r="F59" s="12" t="s">
        <v>145</v>
      </c>
      <c r="G59" s="12">
        <v>0</v>
      </c>
      <c r="H59" t="s">
        <v>43</v>
      </c>
      <c r="I59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2</v>
      </c>
      <c r="F60" s="12" t="s">
        <v>145</v>
      </c>
      <c r="G60" s="12">
        <v>0</v>
      </c>
      <c r="H60" t="s">
        <v>34</v>
      </c>
      <c r="I60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2</v>
      </c>
      <c r="H61" t="s">
        <v>19</v>
      </c>
      <c r="I61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0</v>
      </c>
      <c r="F62" s="12" t="s">
        <v>145</v>
      </c>
      <c r="G62" s="12">
        <v>2</v>
      </c>
      <c r="H62" t="s">
        <v>68</v>
      </c>
      <c r="I62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1</v>
      </c>
      <c r="H63" t="s">
        <v>72</v>
      </c>
      <c r="I63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0</v>
      </c>
      <c r="F64" s="12" t="s">
        <v>145</v>
      </c>
      <c r="G64" s="12">
        <v>2</v>
      </c>
      <c r="H64" t="s">
        <v>62</v>
      </c>
      <c r="I64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3</v>
      </c>
      <c r="F65" s="12" t="s">
        <v>145</v>
      </c>
      <c r="G65" s="12">
        <v>2</v>
      </c>
      <c r="H65" t="s">
        <v>54</v>
      </c>
      <c r="I65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2</v>
      </c>
      <c r="F66" s="12" t="s">
        <v>145</v>
      </c>
      <c r="G66" s="12">
        <v>0</v>
      </c>
      <c r="H66" t="s">
        <v>65</v>
      </c>
      <c r="I66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3</v>
      </c>
      <c r="H67" t="s">
        <v>59</v>
      </c>
      <c r="I67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0</v>
      </c>
      <c r="H68" t="s">
        <v>88</v>
      </c>
      <c r="I68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2</v>
      </c>
      <c r="H70" t="s">
        <v>82</v>
      </c>
      <c r="I70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2</v>
      </c>
      <c r="H71" t="s">
        <v>91</v>
      </c>
      <c r="I71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0</v>
      </c>
      <c r="F72" s="12" t="s">
        <v>145</v>
      </c>
      <c r="G72" s="12">
        <v>2</v>
      </c>
      <c r="H72" t="s">
        <v>78</v>
      </c>
      <c r="I72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4</v>
      </c>
      <c r="H73" t="s">
        <v>75</v>
      </c>
      <c r="I73" s="12">
        <f>IF(OR(Tabela_33468[[#This Row],[Placar Mandante]]="",Tabela_33468[[#This Row],[Placar Visitante]]="",Tabela_3[[#This Row],[Placar Mandante]]="",Tabela_3[[#This Row],[Placar Visitante]]=""),0,
IF(AND(Tabela_33468[[#This Row],[Placar Mandante]]=Tabela_3[[#This Row],[Placar Mandante]],Tabela_33468[[#This Row],[Placar Visitante]]=Tabela_3[[#This Row],[Placar Visitante]]),3,
IF(SIGN(Tabela_33468[[#This Row],[Placar Mandante]]-Tabela_33468[[#This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AFADF-E642-4796-B131-6B9AC87435E3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6640625" style="11" hidden="1" customWidth="1"/>
    <col min="2" max="2" width="10.33203125" style="11" bestFit="1" customWidth="1"/>
    <col min="3" max="3" width="9.44140625" style="11" bestFit="1" customWidth="1"/>
    <col min="4" max="4" width="18.33203125" style="11" bestFit="1" customWidth="1"/>
    <col min="5" max="5" width="18.33203125" style="11" customWidth="1"/>
    <col min="6" max="6" width="4.109375" style="12" bestFit="1" customWidth="1"/>
    <col min="7" max="7" width="18.33203125" style="11" customWidth="1"/>
    <col min="8" max="8" width="18.33203125" style="11" bestFit="1" customWidth="1"/>
    <col min="9" max="9" width="8.88671875" style="11"/>
    <col min="10" max="10" width="11" style="11" customWidth="1"/>
    <col min="11" max="11" width="10.3320312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1</v>
      </c>
      <c r="H2" t="s">
        <v>7</v>
      </c>
      <c r="I2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  <c r="J2" s="13"/>
      <c r="K2" s="3">
        <f>SUM(Tabela_33459[Pontuação])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1</v>
      </c>
      <c r="H3" t="s">
        <v>12</v>
      </c>
      <c r="I3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0</v>
      </c>
      <c r="F4" s="12" t="s">
        <v>145</v>
      </c>
      <c r="G4" s="12">
        <v>1</v>
      </c>
      <c r="H4" t="s">
        <v>16</v>
      </c>
      <c r="I4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1</v>
      </c>
      <c r="F5" s="12" t="s">
        <v>145</v>
      </c>
      <c r="G5" s="12">
        <v>1</v>
      </c>
      <c r="H5" t="s">
        <v>20</v>
      </c>
      <c r="I5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1</v>
      </c>
      <c r="F6" s="12" t="s">
        <v>145</v>
      </c>
      <c r="G6" s="12">
        <v>2</v>
      </c>
      <c r="H6" t="s">
        <v>24</v>
      </c>
      <c r="I6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1</v>
      </c>
      <c r="H7" t="s">
        <v>28</v>
      </c>
      <c r="I7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1</v>
      </c>
      <c r="F8" s="12" t="s">
        <v>145</v>
      </c>
      <c r="G8" s="12">
        <v>2</v>
      </c>
      <c r="H8" t="s">
        <v>32</v>
      </c>
      <c r="I8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1</v>
      </c>
      <c r="H9" t="s">
        <v>35</v>
      </c>
      <c r="I9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4</v>
      </c>
      <c r="F10" s="12" t="s">
        <v>145</v>
      </c>
      <c r="G10" s="12">
        <v>0</v>
      </c>
      <c r="H10" t="s">
        <v>40</v>
      </c>
      <c r="I10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0</v>
      </c>
      <c r="F11" s="12" t="s">
        <v>145</v>
      </c>
      <c r="G11" s="12">
        <v>1</v>
      </c>
      <c r="H11" t="s">
        <v>44</v>
      </c>
      <c r="I11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2</v>
      </c>
      <c r="H12" t="s">
        <v>48</v>
      </c>
      <c r="I12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1</v>
      </c>
      <c r="H13" t="s">
        <v>52</v>
      </c>
      <c r="I13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4</v>
      </c>
      <c r="F14" s="12" t="s">
        <v>145</v>
      </c>
      <c r="G14" s="12">
        <v>1</v>
      </c>
      <c r="H14" t="s">
        <v>55</v>
      </c>
      <c r="I14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1</v>
      </c>
      <c r="H15" t="s">
        <v>60</v>
      </c>
      <c r="I15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1</v>
      </c>
      <c r="F16" s="12" t="s">
        <v>145</v>
      </c>
      <c r="G16" s="12">
        <v>2</v>
      </c>
      <c r="H16" t="s">
        <v>63</v>
      </c>
      <c r="I16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2</v>
      </c>
      <c r="F17" s="12" t="s">
        <v>145</v>
      </c>
      <c r="G17" s="12">
        <v>1</v>
      </c>
      <c r="H17" t="s">
        <v>66</v>
      </c>
      <c r="I17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1</v>
      </c>
      <c r="H18" t="s">
        <v>69</v>
      </c>
      <c r="I18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1</v>
      </c>
      <c r="F19" s="12" t="s">
        <v>145</v>
      </c>
      <c r="G19" s="12">
        <v>2</v>
      </c>
      <c r="H19" t="s">
        <v>73</v>
      </c>
      <c r="I19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2</v>
      </c>
      <c r="F20" s="12" t="s">
        <v>145</v>
      </c>
      <c r="G20" s="12">
        <v>1</v>
      </c>
      <c r="H20" t="s">
        <v>76</v>
      </c>
      <c r="I20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1</v>
      </c>
      <c r="H21" t="s">
        <v>79</v>
      </c>
      <c r="I21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1</v>
      </c>
      <c r="H22" t="s">
        <v>83</v>
      </c>
      <c r="I22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1</v>
      </c>
      <c r="H23" t="s">
        <v>86</v>
      </c>
      <c r="I23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0</v>
      </c>
      <c r="H24" t="s">
        <v>89</v>
      </c>
      <c r="I24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3</v>
      </c>
      <c r="H25" t="s">
        <v>92</v>
      </c>
      <c r="I25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1</v>
      </c>
      <c r="F26" s="12" t="s">
        <v>145</v>
      </c>
      <c r="G26" s="12">
        <v>1</v>
      </c>
      <c r="H26" t="s">
        <v>7</v>
      </c>
      <c r="I26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1</v>
      </c>
      <c r="F27" s="12" t="s">
        <v>145</v>
      </c>
      <c r="G27" s="12">
        <v>1</v>
      </c>
      <c r="H27" t="s">
        <v>16</v>
      </c>
      <c r="I27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1</v>
      </c>
      <c r="F28" s="12" t="s">
        <v>145</v>
      </c>
      <c r="G28" s="12">
        <v>1</v>
      </c>
      <c r="H28" t="s">
        <v>23</v>
      </c>
      <c r="I28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1</v>
      </c>
      <c r="F30" s="12" t="s">
        <v>145</v>
      </c>
      <c r="G30" s="12">
        <v>0</v>
      </c>
      <c r="H30" t="s">
        <v>34</v>
      </c>
      <c r="I30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0</v>
      </c>
      <c r="F31" s="12" t="s">
        <v>145</v>
      </c>
      <c r="G31" s="12">
        <v>0</v>
      </c>
      <c r="H31" t="s">
        <v>28</v>
      </c>
      <c r="I31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3</v>
      </c>
      <c r="F32" s="12" t="s">
        <v>145</v>
      </c>
      <c r="G32" s="12">
        <v>0</v>
      </c>
      <c r="H32" t="s">
        <v>31</v>
      </c>
      <c r="I32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1</v>
      </c>
      <c r="H33" t="s">
        <v>20</v>
      </c>
      <c r="I33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1</v>
      </c>
      <c r="F34" s="12" t="s">
        <v>145</v>
      </c>
      <c r="G34" s="12">
        <v>2</v>
      </c>
      <c r="H34" t="s">
        <v>51</v>
      </c>
      <c r="I34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0</v>
      </c>
      <c r="H35" t="s">
        <v>47</v>
      </c>
      <c r="I35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0</v>
      </c>
      <c r="H36" t="s">
        <v>40</v>
      </c>
      <c r="I36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1</v>
      </c>
      <c r="H37" t="s">
        <v>44</v>
      </c>
      <c r="I37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1</v>
      </c>
      <c r="H38" t="s">
        <v>62</v>
      </c>
      <c r="I38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1</v>
      </c>
      <c r="F39" s="12" t="s">
        <v>145</v>
      </c>
      <c r="G39" s="12">
        <v>1</v>
      </c>
      <c r="H39" t="s">
        <v>65</v>
      </c>
      <c r="I39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0</v>
      </c>
      <c r="H40" t="s">
        <v>55</v>
      </c>
      <c r="I40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1</v>
      </c>
      <c r="H41" t="s">
        <v>60</v>
      </c>
      <c r="I41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1</v>
      </c>
      <c r="F42" s="12" t="s">
        <v>145</v>
      </c>
      <c r="G42" s="12">
        <v>0</v>
      </c>
      <c r="H42" t="s">
        <v>78</v>
      </c>
      <c r="I42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1</v>
      </c>
      <c r="H43" t="s">
        <v>72</v>
      </c>
      <c r="I43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1</v>
      </c>
      <c r="H44" t="s">
        <v>69</v>
      </c>
      <c r="I44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1</v>
      </c>
      <c r="H45" t="s">
        <v>76</v>
      </c>
      <c r="I45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2</v>
      </c>
      <c r="F46" s="12" t="s">
        <v>145</v>
      </c>
      <c r="G46" s="12">
        <v>0</v>
      </c>
      <c r="H46" t="s">
        <v>91</v>
      </c>
      <c r="I46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1</v>
      </c>
      <c r="H47" t="s">
        <v>88</v>
      </c>
      <c r="I47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1</v>
      </c>
      <c r="H49" t="s">
        <v>83</v>
      </c>
      <c r="I49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0</v>
      </c>
      <c r="H50" t="s">
        <v>23</v>
      </c>
      <c r="I50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0</v>
      </c>
      <c r="H51" t="s">
        <v>15</v>
      </c>
      <c r="I51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1</v>
      </c>
      <c r="F52" s="12" t="s">
        <v>145</v>
      </c>
      <c r="G52" s="12">
        <v>3</v>
      </c>
      <c r="H52" t="s">
        <v>27</v>
      </c>
      <c r="I52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2</v>
      </c>
      <c r="F53" s="12" t="s">
        <v>145</v>
      </c>
      <c r="G53" s="12">
        <v>0</v>
      </c>
      <c r="H53" t="s">
        <v>31</v>
      </c>
      <c r="I53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1</v>
      </c>
      <c r="H54" t="s">
        <v>11</v>
      </c>
      <c r="I54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2</v>
      </c>
      <c r="H55" t="s">
        <v>6</v>
      </c>
      <c r="I55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2</v>
      </c>
      <c r="H56" t="s">
        <v>47</v>
      </c>
      <c r="I56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1</v>
      </c>
      <c r="H57" t="s">
        <v>39</v>
      </c>
      <c r="I57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1</v>
      </c>
      <c r="H58" t="s">
        <v>51</v>
      </c>
      <c r="I58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0</v>
      </c>
      <c r="H59" t="s">
        <v>43</v>
      </c>
      <c r="I59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0</v>
      </c>
      <c r="H60" t="s">
        <v>34</v>
      </c>
      <c r="I60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1</v>
      </c>
      <c r="H61" t="s">
        <v>19</v>
      </c>
      <c r="I61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2</v>
      </c>
      <c r="H62" t="s">
        <v>68</v>
      </c>
      <c r="I62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1</v>
      </c>
      <c r="H63" t="s">
        <v>72</v>
      </c>
      <c r="I63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0</v>
      </c>
      <c r="H64" t="s">
        <v>62</v>
      </c>
      <c r="I64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1</v>
      </c>
      <c r="H65" t="s">
        <v>54</v>
      </c>
      <c r="I65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1</v>
      </c>
      <c r="H66" t="s">
        <v>65</v>
      </c>
      <c r="I66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1</v>
      </c>
      <c r="H67" t="s">
        <v>59</v>
      </c>
      <c r="I67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1</v>
      </c>
      <c r="F68" s="12" t="s">
        <v>145</v>
      </c>
      <c r="G68" s="12">
        <v>1</v>
      </c>
      <c r="H68" t="s">
        <v>88</v>
      </c>
      <c r="I68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1</v>
      </c>
      <c r="H70" t="s">
        <v>82</v>
      </c>
      <c r="I70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2</v>
      </c>
      <c r="F71" s="12" t="s">
        <v>145</v>
      </c>
      <c r="G71" s="12">
        <v>1</v>
      </c>
      <c r="H71" t="s">
        <v>91</v>
      </c>
      <c r="I71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2</v>
      </c>
      <c r="H73" t="s">
        <v>75</v>
      </c>
      <c r="I73" s="12">
        <f>IF(OR(Tabela_33459[[#This Row],[Placar Mandante]]="",Tabela_33459[[#This Row],[Placar Visitante]]="",Tabela_3[[#This Row],[Placar Mandante]]="",Tabela_3[[#This Row],[Placar Visitante]]=""),0,
IF(AND(Tabela_33459[[#This Row],[Placar Mandante]]=Tabela_3[[#This Row],[Placar Mandante]],Tabela_33459[[#This Row],[Placar Visitante]]=Tabela_3[[#This Row],[Placar Visitante]]),3,
IF(SIGN(Tabela_33459[[#This Row],[Placar Mandante]]-Tabela_33459[[#This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D7BB-C3EA-41FB-BBD6-44F63A774334}">
  <sheetPr codeName="Planilha24"/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2</v>
      </c>
      <c r="F2" s="2" t="s">
        <v>145</v>
      </c>
      <c r="G2" s="12">
        <v>0</v>
      </c>
      <c r="H2" t="s">
        <v>7</v>
      </c>
      <c r="I2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  <c r="K2" s="3">
        <f>SUM(Tabela_335056[Pontuação])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1</v>
      </c>
      <c r="F3" s="2" t="s">
        <v>145</v>
      </c>
      <c r="G3" s="12">
        <v>1</v>
      </c>
      <c r="H3" t="s">
        <v>12</v>
      </c>
      <c r="I3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2</v>
      </c>
      <c r="F4" s="2" t="s">
        <v>145</v>
      </c>
      <c r="G4" s="12">
        <v>1</v>
      </c>
      <c r="H4" t="s">
        <v>16</v>
      </c>
      <c r="I4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2</v>
      </c>
      <c r="F5" s="2" t="s">
        <v>145</v>
      </c>
      <c r="G5" s="12">
        <v>0</v>
      </c>
      <c r="H5" t="s">
        <v>20</v>
      </c>
      <c r="I5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2</v>
      </c>
      <c r="H6" t="s">
        <v>24</v>
      </c>
      <c r="I6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3</v>
      </c>
      <c r="F7" s="2" t="s">
        <v>145</v>
      </c>
      <c r="G7" s="12">
        <v>1</v>
      </c>
      <c r="H7" t="s">
        <v>28</v>
      </c>
      <c r="I7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0</v>
      </c>
      <c r="F8" s="2" t="s">
        <v>145</v>
      </c>
      <c r="G8" s="12">
        <v>2</v>
      </c>
      <c r="H8" t="s">
        <v>32</v>
      </c>
      <c r="I8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1</v>
      </c>
      <c r="F9" s="2" t="s">
        <v>145</v>
      </c>
      <c r="G9" s="12">
        <v>1</v>
      </c>
      <c r="H9" t="s">
        <v>35</v>
      </c>
      <c r="I9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5</v>
      </c>
      <c r="F10" s="2" t="s">
        <v>145</v>
      </c>
      <c r="G10" s="12">
        <v>0</v>
      </c>
      <c r="H10" t="s">
        <v>40</v>
      </c>
      <c r="I10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2</v>
      </c>
      <c r="F11" s="2" t="s">
        <v>145</v>
      </c>
      <c r="G11" s="12">
        <v>1</v>
      </c>
      <c r="H11" t="s">
        <v>44</v>
      </c>
      <c r="I11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1</v>
      </c>
      <c r="F12" s="2" t="s">
        <v>145</v>
      </c>
      <c r="G12" s="12">
        <v>2</v>
      </c>
      <c r="H12" t="s">
        <v>48</v>
      </c>
      <c r="I12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2</v>
      </c>
      <c r="F13" s="2" t="s">
        <v>145</v>
      </c>
      <c r="G13" s="12">
        <v>0</v>
      </c>
      <c r="H13" t="s">
        <v>52</v>
      </c>
      <c r="I13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3</v>
      </c>
      <c r="F14" s="2" t="s">
        <v>145</v>
      </c>
      <c r="G14" s="12">
        <v>0</v>
      </c>
      <c r="H14" t="s">
        <v>55</v>
      </c>
      <c r="I14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2</v>
      </c>
      <c r="F15" s="2" t="s">
        <v>145</v>
      </c>
      <c r="G15" s="12">
        <v>1</v>
      </c>
      <c r="H15" t="s">
        <v>60</v>
      </c>
      <c r="I15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0</v>
      </c>
      <c r="F16" s="2" t="s">
        <v>145</v>
      </c>
      <c r="G16" s="12">
        <v>2</v>
      </c>
      <c r="H16" t="s">
        <v>63</v>
      </c>
      <c r="I16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1</v>
      </c>
      <c r="F17" s="2" t="s">
        <v>145</v>
      </c>
      <c r="G17" s="12">
        <v>1</v>
      </c>
      <c r="H17" t="s">
        <v>66</v>
      </c>
      <c r="I17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3</v>
      </c>
      <c r="F18" s="2" t="s">
        <v>145</v>
      </c>
      <c r="G18" s="12">
        <v>1</v>
      </c>
      <c r="H18" t="s">
        <v>69</v>
      </c>
      <c r="I18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0</v>
      </c>
      <c r="F19" s="2" t="s">
        <v>145</v>
      </c>
      <c r="G19" s="12">
        <v>3</v>
      </c>
      <c r="H19" t="s">
        <v>73</v>
      </c>
      <c r="I19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1</v>
      </c>
      <c r="F20" s="2" t="s">
        <v>145</v>
      </c>
      <c r="G20" s="12">
        <v>0</v>
      </c>
      <c r="H20" t="s">
        <v>76</v>
      </c>
      <c r="I20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2</v>
      </c>
      <c r="F21" s="2" t="s">
        <v>145</v>
      </c>
      <c r="G21" s="12">
        <v>0</v>
      </c>
      <c r="H21" t="s">
        <v>79</v>
      </c>
      <c r="I21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3</v>
      </c>
      <c r="F22" s="2" t="s">
        <v>145</v>
      </c>
      <c r="G22" s="12">
        <v>0</v>
      </c>
      <c r="H22" t="s">
        <v>83</v>
      </c>
      <c r="I22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2</v>
      </c>
      <c r="F23" s="2" t="s">
        <v>145</v>
      </c>
      <c r="G23" s="12">
        <v>1</v>
      </c>
      <c r="H23" t="s">
        <v>86</v>
      </c>
      <c r="I23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1</v>
      </c>
      <c r="F24" s="2" t="s">
        <v>145</v>
      </c>
      <c r="G24" s="12">
        <v>0</v>
      </c>
      <c r="H24" t="s">
        <v>89</v>
      </c>
      <c r="I24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2</v>
      </c>
      <c r="H25" t="s">
        <v>92</v>
      </c>
      <c r="I25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1</v>
      </c>
      <c r="F26" s="2" t="s">
        <v>145</v>
      </c>
      <c r="G26" s="12">
        <v>0</v>
      </c>
      <c r="H26" t="s">
        <v>7</v>
      </c>
      <c r="I26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2</v>
      </c>
      <c r="F27" s="2" t="s">
        <v>145</v>
      </c>
      <c r="G27" s="12">
        <v>0</v>
      </c>
      <c r="H27" t="s">
        <v>16</v>
      </c>
      <c r="I27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3</v>
      </c>
      <c r="F28" s="2" t="s">
        <v>145</v>
      </c>
      <c r="G28" s="12">
        <v>1</v>
      </c>
      <c r="H28" t="s">
        <v>23</v>
      </c>
      <c r="I28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1</v>
      </c>
      <c r="F29" s="2" t="s">
        <v>145</v>
      </c>
      <c r="G29" s="12">
        <v>1</v>
      </c>
      <c r="H29" t="s">
        <v>11</v>
      </c>
      <c r="I29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2</v>
      </c>
      <c r="F30" s="2" t="s">
        <v>145</v>
      </c>
      <c r="G30" s="12">
        <v>1</v>
      </c>
      <c r="H30" t="s">
        <v>34</v>
      </c>
      <c r="I30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0</v>
      </c>
      <c r="F31" s="2" t="s">
        <v>145</v>
      </c>
      <c r="G31" s="12">
        <v>1</v>
      </c>
      <c r="H31" t="s">
        <v>28</v>
      </c>
      <c r="I31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4</v>
      </c>
      <c r="F32" s="2" t="s">
        <v>145</v>
      </c>
      <c r="G32" s="12">
        <v>1</v>
      </c>
      <c r="H32" t="s">
        <v>31</v>
      </c>
      <c r="I32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2</v>
      </c>
      <c r="F33" s="2" t="s">
        <v>145</v>
      </c>
      <c r="G33" s="12">
        <v>1</v>
      </c>
      <c r="H33" t="s">
        <v>20</v>
      </c>
      <c r="I33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2</v>
      </c>
      <c r="F34" s="2" t="s">
        <v>145</v>
      </c>
      <c r="G34" s="12">
        <v>1</v>
      </c>
      <c r="H34" t="s">
        <v>51</v>
      </c>
      <c r="I34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3</v>
      </c>
      <c r="F35" s="2" t="s">
        <v>145</v>
      </c>
      <c r="G35" s="12">
        <v>0</v>
      </c>
      <c r="H35" t="s">
        <v>47</v>
      </c>
      <c r="I35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3</v>
      </c>
      <c r="F36" s="2" t="s">
        <v>145</v>
      </c>
      <c r="G36" s="12">
        <v>0</v>
      </c>
      <c r="H36" t="s">
        <v>40</v>
      </c>
      <c r="I36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1</v>
      </c>
      <c r="F37" s="2" t="s">
        <v>145</v>
      </c>
      <c r="G37" s="12">
        <v>2</v>
      </c>
      <c r="H37" t="s">
        <v>44</v>
      </c>
      <c r="I37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3</v>
      </c>
      <c r="F38" s="2" t="s">
        <v>145</v>
      </c>
      <c r="G38" s="12">
        <v>0</v>
      </c>
      <c r="H38" t="s">
        <v>62</v>
      </c>
      <c r="I38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2</v>
      </c>
      <c r="F39" s="2" t="s">
        <v>145</v>
      </c>
      <c r="G39" s="12">
        <v>0</v>
      </c>
      <c r="H39" t="s">
        <v>65</v>
      </c>
      <c r="I39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2</v>
      </c>
      <c r="F40" s="2" t="s">
        <v>145</v>
      </c>
      <c r="G40" s="12">
        <v>1</v>
      </c>
      <c r="H40" t="s">
        <v>55</v>
      </c>
      <c r="I40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1</v>
      </c>
      <c r="F41" s="2" t="s">
        <v>145</v>
      </c>
      <c r="G41" s="12">
        <v>2</v>
      </c>
      <c r="H41" t="s">
        <v>60</v>
      </c>
      <c r="I41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2</v>
      </c>
      <c r="F42" s="2" t="s">
        <v>145</v>
      </c>
      <c r="G42" s="12">
        <v>1</v>
      </c>
      <c r="H42" t="s">
        <v>78</v>
      </c>
      <c r="I42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5</v>
      </c>
      <c r="F43" s="2" t="s">
        <v>145</v>
      </c>
      <c r="G43" s="12">
        <v>0</v>
      </c>
      <c r="H43" t="s">
        <v>72</v>
      </c>
      <c r="I43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1</v>
      </c>
      <c r="F44" s="2" t="s">
        <v>145</v>
      </c>
      <c r="G44" s="12">
        <v>1</v>
      </c>
      <c r="H44" t="s">
        <v>69</v>
      </c>
      <c r="I44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0</v>
      </c>
      <c r="F45" s="2" t="s">
        <v>145</v>
      </c>
      <c r="G45" s="12">
        <v>2</v>
      </c>
      <c r="H45" t="s">
        <v>76</v>
      </c>
      <c r="I45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3</v>
      </c>
      <c r="F46" s="2" t="s">
        <v>145</v>
      </c>
      <c r="G46" s="12">
        <v>0</v>
      </c>
      <c r="H46" t="s">
        <v>91</v>
      </c>
      <c r="I46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2</v>
      </c>
      <c r="F47" s="2" t="s">
        <v>145</v>
      </c>
      <c r="G47" s="12">
        <v>0</v>
      </c>
      <c r="H47" t="s">
        <v>88</v>
      </c>
      <c r="I47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0</v>
      </c>
      <c r="F48" s="2" t="s">
        <v>145</v>
      </c>
      <c r="G48" s="12">
        <v>2</v>
      </c>
      <c r="H48" t="s">
        <v>86</v>
      </c>
      <c r="I48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2</v>
      </c>
      <c r="F49" s="2" t="s">
        <v>145</v>
      </c>
      <c r="G49" s="12">
        <v>1</v>
      </c>
      <c r="H49" t="s">
        <v>83</v>
      </c>
      <c r="I49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0</v>
      </c>
      <c r="F50" s="2" t="s">
        <v>145</v>
      </c>
      <c r="G50" s="12">
        <v>1</v>
      </c>
      <c r="H50" t="s">
        <v>23</v>
      </c>
      <c r="I50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1</v>
      </c>
      <c r="F51" s="2" t="s">
        <v>145</v>
      </c>
      <c r="G51" s="12">
        <v>1</v>
      </c>
      <c r="H51" t="s">
        <v>15</v>
      </c>
      <c r="I51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0</v>
      </c>
      <c r="F52" s="2" t="s">
        <v>145</v>
      </c>
      <c r="G52" s="12">
        <v>2</v>
      </c>
      <c r="H52" t="s">
        <v>27</v>
      </c>
      <c r="I52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2</v>
      </c>
      <c r="F53" s="2" t="s">
        <v>145</v>
      </c>
      <c r="G53" s="12">
        <v>0</v>
      </c>
      <c r="H53" t="s">
        <v>31</v>
      </c>
      <c r="I53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0</v>
      </c>
      <c r="F54" s="2" t="s">
        <v>145</v>
      </c>
      <c r="G54" s="12">
        <v>1</v>
      </c>
      <c r="H54" t="s">
        <v>11</v>
      </c>
      <c r="I54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0</v>
      </c>
      <c r="F55" s="2" t="s">
        <v>145</v>
      </c>
      <c r="G55" s="12">
        <v>2</v>
      </c>
      <c r="H55" t="s">
        <v>6</v>
      </c>
      <c r="I55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0</v>
      </c>
      <c r="F56" s="2" t="s">
        <v>145</v>
      </c>
      <c r="G56" s="12">
        <v>2</v>
      </c>
      <c r="H56" t="s">
        <v>47</v>
      </c>
      <c r="I56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1</v>
      </c>
      <c r="F57" s="2" t="s">
        <v>145</v>
      </c>
      <c r="G57" s="12">
        <v>2</v>
      </c>
      <c r="H57" t="s">
        <v>39</v>
      </c>
      <c r="I57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1</v>
      </c>
      <c r="F58" s="2" t="s">
        <v>145</v>
      </c>
      <c r="G58" s="12">
        <v>1</v>
      </c>
      <c r="H58" t="s">
        <v>51</v>
      </c>
      <c r="I58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0</v>
      </c>
      <c r="F59" s="2" t="s">
        <v>145</v>
      </c>
      <c r="G59" s="12">
        <v>2</v>
      </c>
      <c r="H59" t="s">
        <v>43</v>
      </c>
      <c r="I59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0</v>
      </c>
      <c r="F60" s="2" t="s">
        <v>145</v>
      </c>
      <c r="G60" s="12">
        <v>1</v>
      </c>
      <c r="H60" t="s">
        <v>34</v>
      </c>
      <c r="I60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1</v>
      </c>
      <c r="F61" s="2" t="s">
        <v>145</v>
      </c>
      <c r="G61" s="12">
        <v>2</v>
      </c>
      <c r="H61" t="s">
        <v>19</v>
      </c>
      <c r="I61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2</v>
      </c>
      <c r="F62" s="2" t="s">
        <v>145</v>
      </c>
      <c r="G62" s="12">
        <v>3</v>
      </c>
      <c r="H62" t="s">
        <v>68</v>
      </c>
      <c r="I62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2</v>
      </c>
      <c r="F63" s="2" t="s">
        <v>145</v>
      </c>
      <c r="G63" s="12">
        <v>0</v>
      </c>
      <c r="H63" t="s">
        <v>72</v>
      </c>
      <c r="I63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0</v>
      </c>
      <c r="F64" s="2" t="s">
        <v>145</v>
      </c>
      <c r="G64" s="12">
        <v>0</v>
      </c>
      <c r="H64" t="s">
        <v>62</v>
      </c>
      <c r="I64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1</v>
      </c>
      <c r="F65" s="2" t="s">
        <v>145</v>
      </c>
      <c r="G65" s="12">
        <v>3</v>
      </c>
      <c r="H65" t="s">
        <v>54</v>
      </c>
      <c r="I65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2</v>
      </c>
      <c r="F66" s="2" t="s">
        <v>145</v>
      </c>
      <c r="G66" s="12">
        <v>0</v>
      </c>
      <c r="H66" t="s">
        <v>65</v>
      </c>
      <c r="I66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1</v>
      </c>
      <c r="F67" s="2" t="s">
        <v>145</v>
      </c>
      <c r="G67" s="12">
        <v>3</v>
      </c>
      <c r="H67" t="s">
        <v>59</v>
      </c>
      <c r="I67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2</v>
      </c>
      <c r="F68" s="2" t="s">
        <v>145</v>
      </c>
      <c r="G68" s="12">
        <v>0</v>
      </c>
      <c r="H68" t="s">
        <v>88</v>
      </c>
      <c r="I68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0</v>
      </c>
      <c r="F69" s="2" t="s">
        <v>145</v>
      </c>
      <c r="G69" s="12">
        <v>3</v>
      </c>
      <c r="H69" t="s">
        <v>85</v>
      </c>
      <c r="I69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1</v>
      </c>
      <c r="F70" s="2" t="s">
        <v>145</v>
      </c>
      <c r="G70" s="12">
        <v>2</v>
      </c>
      <c r="H70" t="s">
        <v>82</v>
      </c>
      <c r="I70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1</v>
      </c>
      <c r="F71" s="2" t="s">
        <v>145</v>
      </c>
      <c r="G71" s="12">
        <v>1</v>
      </c>
      <c r="H71" t="s">
        <v>91</v>
      </c>
      <c r="I71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0</v>
      </c>
      <c r="F72" s="2" t="s">
        <v>145</v>
      </c>
      <c r="G72" s="12">
        <v>1</v>
      </c>
      <c r="H72" t="s">
        <v>78</v>
      </c>
      <c r="I72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0</v>
      </c>
      <c r="F73" s="2" t="s">
        <v>145</v>
      </c>
      <c r="G73" s="12">
        <v>4</v>
      </c>
      <c r="H73" t="s">
        <v>75</v>
      </c>
      <c r="I73" s="2">
        <f>IF(OR(Tabela_335056[[#This Row],[Placar Mandante]]="",Tabela_335056[[#This Row],[Placar Visitante]]="",Tabela_3[[#This Row],[Placar Mandante]]="",Tabela_3[[#This Row],[Placar Visitante]]=""),0,
IF(AND(Tabela_335056[[#This Row],[Placar Mandante]]=Tabela_3[[#This Row],[Placar Mandante]],Tabela_335056[[#This Row],[Placar Visitante]]=Tabela_3[[#This Row],[Placar Visitante]]),3,
IF(SIGN(Tabela_335056[[#This Row],[Placar Mandante]]-Tabela_335056[[#This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DB16-0565-479B-A743-5D2F261C72AF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6640625" style="11" hidden="1" customWidth="1"/>
    <col min="2" max="2" width="10.33203125" style="11" bestFit="1" customWidth="1"/>
    <col min="3" max="3" width="9.44140625" style="11" bestFit="1" customWidth="1"/>
    <col min="4" max="4" width="18.33203125" style="11" bestFit="1" customWidth="1"/>
    <col min="5" max="5" width="18.33203125" style="11" customWidth="1"/>
    <col min="6" max="6" width="4.109375" style="12" bestFit="1" customWidth="1"/>
    <col min="7" max="7" width="18.33203125" style="11" customWidth="1"/>
    <col min="8" max="8" width="18.33203125" style="11" bestFit="1" customWidth="1"/>
    <col min="9" max="9" width="8.88671875" style="11" customWidth="1"/>
    <col min="10" max="10" width="12.21875" style="11" customWidth="1"/>
    <col min="11" max="11" width="10.33203125" style="11" bestFit="1" customWidth="1"/>
    <col min="12" max="12" width="8.88671875" style="11" customWidth="1"/>
    <col min="13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38">
        <v>2</v>
      </c>
      <c r="F2" s="12" t="s">
        <v>145</v>
      </c>
      <c r="G2" s="38">
        <v>0</v>
      </c>
      <c r="H2" t="s">
        <v>7</v>
      </c>
      <c r="I2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  <c r="J2" s="39"/>
      <c r="K2" s="3">
        <f>SUM(Tabela_33460[Pontuação])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38">
        <v>1</v>
      </c>
      <c r="F3" s="12" t="s">
        <v>145</v>
      </c>
      <c r="G3" s="38">
        <v>1</v>
      </c>
      <c r="H3" t="s">
        <v>12</v>
      </c>
      <c r="I3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38">
        <v>2</v>
      </c>
      <c r="F4" s="12" t="s">
        <v>145</v>
      </c>
      <c r="G4" s="38">
        <v>1</v>
      </c>
      <c r="H4" t="s">
        <v>16</v>
      </c>
      <c r="I4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38">
        <v>2</v>
      </c>
      <c r="F5" s="12" t="s">
        <v>145</v>
      </c>
      <c r="G5" s="38">
        <v>1</v>
      </c>
      <c r="H5" t="s">
        <v>20</v>
      </c>
      <c r="I5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38">
        <v>1</v>
      </c>
      <c r="F6" s="12" t="s">
        <v>145</v>
      </c>
      <c r="G6" s="38">
        <v>2</v>
      </c>
      <c r="H6" t="s">
        <v>24</v>
      </c>
      <c r="I6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  <c r="J6" s="40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38">
        <v>2</v>
      </c>
      <c r="F7" s="12" t="s">
        <v>145</v>
      </c>
      <c r="G7" s="38">
        <v>1</v>
      </c>
      <c r="H7" t="s">
        <v>28</v>
      </c>
      <c r="I7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8" spans="1:11" ht="18" customHeight="1" x14ac:dyDescent="0.3">
      <c r="A8" s="11" t="s">
        <v>30</v>
      </c>
      <c r="B8" t="s">
        <v>25</v>
      </c>
      <c r="C8" t="s">
        <v>21</v>
      </c>
      <c r="D8" t="s">
        <v>31</v>
      </c>
      <c r="E8" s="38">
        <v>0</v>
      </c>
      <c r="F8" s="12" t="s">
        <v>145</v>
      </c>
      <c r="G8" s="38">
        <v>2</v>
      </c>
      <c r="H8" t="s">
        <v>32</v>
      </c>
      <c r="I8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38">
        <v>1</v>
      </c>
      <c r="F9" s="12" t="s">
        <v>145</v>
      </c>
      <c r="G9" s="38">
        <v>2</v>
      </c>
      <c r="H9" t="s">
        <v>35</v>
      </c>
      <c r="I9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38">
        <v>4</v>
      </c>
      <c r="F10" s="12" t="s">
        <v>145</v>
      </c>
      <c r="G10" s="38">
        <v>0</v>
      </c>
      <c r="H10" t="s">
        <v>40</v>
      </c>
      <c r="I10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38">
        <v>2</v>
      </c>
      <c r="F11" s="12" t="s">
        <v>145</v>
      </c>
      <c r="G11" s="38">
        <v>1</v>
      </c>
      <c r="H11" t="s">
        <v>44</v>
      </c>
      <c r="I11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38">
        <v>1</v>
      </c>
      <c r="F12" s="12" t="s">
        <v>145</v>
      </c>
      <c r="G12" s="38">
        <v>0</v>
      </c>
      <c r="H12" t="s">
        <v>48</v>
      </c>
      <c r="I12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38">
        <v>2</v>
      </c>
      <c r="F13" s="12" t="s">
        <v>145</v>
      </c>
      <c r="G13" s="38">
        <v>0</v>
      </c>
      <c r="H13" t="s">
        <v>52</v>
      </c>
      <c r="I13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38">
        <v>3</v>
      </c>
      <c r="F14" s="12" t="s">
        <v>145</v>
      </c>
      <c r="G14" s="38">
        <v>0</v>
      </c>
      <c r="H14" t="s">
        <v>55</v>
      </c>
      <c r="I14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38">
        <v>2</v>
      </c>
      <c r="F15" s="12" t="s">
        <v>145</v>
      </c>
      <c r="G15" s="38">
        <v>0</v>
      </c>
      <c r="H15" t="s">
        <v>60</v>
      </c>
      <c r="I15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38">
        <v>0</v>
      </c>
      <c r="F16" s="12" t="s">
        <v>145</v>
      </c>
      <c r="G16" s="38">
        <v>2</v>
      </c>
      <c r="H16" t="s">
        <v>63</v>
      </c>
      <c r="I16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38">
        <v>1</v>
      </c>
      <c r="F17" s="12" t="s">
        <v>145</v>
      </c>
      <c r="G17" s="38">
        <v>0</v>
      </c>
      <c r="H17" t="s">
        <v>66</v>
      </c>
      <c r="I17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38">
        <v>2</v>
      </c>
      <c r="F18" s="12" t="s">
        <v>145</v>
      </c>
      <c r="G18" s="38">
        <v>0</v>
      </c>
      <c r="H18" t="s">
        <v>69</v>
      </c>
      <c r="I18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38">
        <v>0</v>
      </c>
      <c r="F19" s="12" t="s">
        <v>145</v>
      </c>
      <c r="G19" s="38">
        <v>2</v>
      </c>
      <c r="H19" t="s">
        <v>73</v>
      </c>
      <c r="I19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38">
        <v>2</v>
      </c>
      <c r="F20" s="12" t="s">
        <v>145</v>
      </c>
      <c r="G20" s="38">
        <v>0</v>
      </c>
      <c r="H20" t="s">
        <v>76</v>
      </c>
      <c r="I20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38">
        <v>2</v>
      </c>
      <c r="F21" s="12" t="s">
        <v>145</v>
      </c>
      <c r="G21" s="38">
        <v>1</v>
      </c>
      <c r="H21" t="s">
        <v>79</v>
      </c>
      <c r="I21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38">
        <v>3</v>
      </c>
      <c r="F22" s="12" t="s">
        <v>145</v>
      </c>
      <c r="G22" s="38">
        <v>0</v>
      </c>
      <c r="H22" t="s">
        <v>83</v>
      </c>
      <c r="I22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38">
        <v>2</v>
      </c>
      <c r="F23" s="12" t="s">
        <v>145</v>
      </c>
      <c r="G23" s="38">
        <v>1</v>
      </c>
      <c r="H23" t="s">
        <v>86</v>
      </c>
      <c r="I23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38">
        <v>1</v>
      </c>
      <c r="F24" s="12" t="s">
        <v>145</v>
      </c>
      <c r="G24" s="38">
        <v>1</v>
      </c>
      <c r="H24" t="s">
        <v>89</v>
      </c>
      <c r="I24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38">
        <v>0</v>
      </c>
      <c r="F25" s="12" t="s">
        <v>145</v>
      </c>
      <c r="G25" s="38">
        <v>2</v>
      </c>
      <c r="H25" t="s">
        <v>92</v>
      </c>
      <c r="I25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38">
        <v>2</v>
      </c>
      <c r="F26" s="12" t="s">
        <v>145</v>
      </c>
      <c r="G26" s="38">
        <v>1</v>
      </c>
      <c r="H26" t="s">
        <v>7</v>
      </c>
      <c r="I26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38">
        <v>2</v>
      </c>
      <c r="F27" s="12" t="s">
        <v>145</v>
      </c>
      <c r="G27" s="38">
        <v>0</v>
      </c>
      <c r="H27" t="s">
        <v>16</v>
      </c>
      <c r="I27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38">
        <v>2</v>
      </c>
      <c r="F28" s="12" t="s">
        <v>145</v>
      </c>
      <c r="G28" s="38">
        <v>0</v>
      </c>
      <c r="H28" t="s">
        <v>23</v>
      </c>
      <c r="I28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38">
        <v>2</v>
      </c>
      <c r="F29" s="12" t="s">
        <v>145</v>
      </c>
      <c r="G29" s="38">
        <v>1</v>
      </c>
      <c r="H29" t="s">
        <v>11</v>
      </c>
      <c r="I29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38">
        <v>2</v>
      </c>
      <c r="F30" s="12" t="s">
        <v>145</v>
      </c>
      <c r="G30" s="38">
        <v>1</v>
      </c>
      <c r="H30" t="s">
        <v>34</v>
      </c>
      <c r="I30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38">
        <v>1</v>
      </c>
      <c r="F31" s="12" t="s">
        <v>145</v>
      </c>
      <c r="G31" s="38">
        <v>2</v>
      </c>
      <c r="H31" t="s">
        <v>28</v>
      </c>
      <c r="I31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38">
        <v>4</v>
      </c>
      <c r="F32" s="12" t="s">
        <v>145</v>
      </c>
      <c r="G32" s="38">
        <v>0</v>
      </c>
      <c r="H32" t="s">
        <v>31</v>
      </c>
      <c r="I32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38">
        <v>2</v>
      </c>
      <c r="F33" s="12" t="s">
        <v>145</v>
      </c>
      <c r="G33" s="38">
        <v>1</v>
      </c>
      <c r="H33" t="s">
        <v>20</v>
      </c>
      <c r="I33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38">
        <v>2</v>
      </c>
      <c r="F34" s="12" t="s">
        <v>145</v>
      </c>
      <c r="G34" s="38">
        <v>0</v>
      </c>
      <c r="H34" t="s">
        <v>51</v>
      </c>
      <c r="I34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38">
        <v>2</v>
      </c>
      <c r="F35" s="12" t="s">
        <v>145</v>
      </c>
      <c r="G35" s="38">
        <v>1</v>
      </c>
      <c r="H35" t="s">
        <v>47</v>
      </c>
      <c r="I35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38">
        <v>3</v>
      </c>
      <c r="F36" s="12" t="s">
        <v>145</v>
      </c>
      <c r="G36" s="38">
        <v>0</v>
      </c>
      <c r="H36" t="s">
        <v>40</v>
      </c>
      <c r="I36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38">
        <v>1</v>
      </c>
      <c r="F37" s="12" t="s">
        <v>145</v>
      </c>
      <c r="G37" s="38">
        <v>2</v>
      </c>
      <c r="H37" t="s">
        <v>44</v>
      </c>
      <c r="I37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38">
        <v>3</v>
      </c>
      <c r="F38" s="12" t="s">
        <v>145</v>
      </c>
      <c r="G38" s="38">
        <v>0</v>
      </c>
      <c r="H38" t="s">
        <v>62</v>
      </c>
      <c r="I38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38">
        <v>2</v>
      </c>
      <c r="F39" s="12" t="s">
        <v>145</v>
      </c>
      <c r="G39" s="38">
        <v>0</v>
      </c>
      <c r="H39" t="s">
        <v>65</v>
      </c>
      <c r="I39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38">
        <v>3</v>
      </c>
      <c r="F40" s="12" t="s">
        <v>145</v>
      </c>
      <c r="G40" s="38">
        <v>0</v>
      </c>
      <c r="H40" t="s">
        <v>55</v>
      </c>
      <c r="I40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38">
        <v>1</v>
      </c>
      <c r="F41" s="12" t="s">
        <v>145</v>
      </c>
      <c r="G41" s="38">
        <v>1</v>
      </c>
      <c r="H41" t="s">
        <v>60</v>
      </c>
      <c r="I41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38">
        <v>2</v>
      </c>
      <c r="F42" s="12" t="s">
        <v>145</v>
      </c>
      <c r="G42" s="38">
        <v>0</v>
      </c>
      <c r="H42" t="s">
        <v>78</v>
      </c>
      <c r="I42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38">
        <v>3</v>
      </c>
      <c r="F43" s="12" t="s">
        <v>145</v>
      </c>
      <c r="G43" s="38">
        <v>0</v>
      </c>
      <c r="H43" t="s">
        <v>72</v>
      </c>
      <c r="I43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38">
        <v>2</v>
      </c>
      <c r="F44" s="12" t="s">
        <v>145</v>
      </c>
      <c r="G44" s="38">
        <v>1</v>
      </c>
      <c r="H44" t="s">
        <v>69</v>
      </c>
      <c r="I44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38">
        <v>1</v>
      </c>
      <c r="F45" s="12" t="s">
        <v>145</v>
      </c>
      <c r="G45" s="38">
        <v>1</v>
      </c>
      <c r="H45" t="s">
        <v>76</v>
      </c>
      <c r="I45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38">
        <v>3</v>
      </c>
      <c r="F46" s="12" t="s">
        <v>145</v>
      </c>
      <c r="G46" s="38">
        <v>0</v>
      </c>
      <c r="H46" t="s">
        <v>91</v>
      </c>
      <c r="I46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38">
        <v>2</v>
      </c>
      <c r="F47" s="12" t="s">
        <v>145</v>
      </c>
      <c r="G47" s="38">
        <v>0</v>
      </c>
      <c r="H47" t="s">
        <v>88</v>
      </c>
      <c r="I47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38">
        <v>1</v>
      </c>
      <c r="F48" s="12" t="s">
        <v>145</v>
      </c>
      <c r="G48" s="38">
        <v>2</v>
      </c>
      <c r="H48" t="s">
        <v>86</v>
      </c>
      <c r="I48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38">
        <v>2</v>
      </c>
      <c r="F49" s="12" t="s">
        <v>145</v>
      </c>
      <c r="G49" s="38">
        <v>1</v>
      </c>
      <c r="H49" t="s">
        <v>83</v>
      </c>
      <c r="I49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38">
        <v>1</v>
      </c>
      <c r="F50" s="12" t="s">
        <v>145</v>
      </c>
      <c r="G50" s="38">
        <v>2</v>
      </c>
      <c r="H50" t="s">
        <v>23</v>
      </c>
      <c r="I50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38">
        <v>1</v>
      </c>
      <c r="F51" s="12" t="s">
        <v>145</v>
      </c>
      <c r="G51" s="38">
        <v>1</v>
      </c>
      <c r="H51" t="s">
        <v>15</v>
      </c>
      <c r="I51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38">
        <v>0</v>
      </c>
      <c r="F52" s="12" t="s">
        <v>145</v>
      </c>
      <c r="G52" s="38">
        <v>2</v>
      </c>
      <c r="H52" t="s">
        <v>27</v>
      </c>
      <c r="I52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38">
        <v>2</v>
      </c>
      <c r="F53" s="12" t="s">
        <v>145</v>
      </c>
      <c r="G53" s="38">
        <v>0</v>
      </c>
      <c r="H53" t="s">
        <v>31</v>
      </c>
      <c r="I53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38">
        <v>1</v>
      </c>
      <c r="F54" s="12" t="s">
        <v>145</v>
      </c>
      <c r="G54" s="38">
        <v>2</v>
      </c>
      <c r="H54" t="s">
        <v>11</v>
      </c>
      <c r="I54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38">
        <v>1</v>
      </c>
      <c r="F55" s="12" t="s">
        <v>145</v>
      </c>
      <c r="G55" s="38">
        <v>1</v>
      </c>
      <c r="H55" t="s">
        <v>6</v>
      </c>
      <c r="I55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38">
        <v>0</v>
      </c>
      <c r="F56" s="12" t="s">
        <v>145</v>
      </c>
      <c r="G56" s="38">
        <v>2</v>
      </c>
      <c r="H56" t="s">
        <v>47</v>
      </c>
      <c r="I56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38">
        <v>1</v>
      </c>
      <c r="F57" s="12" t="s">
        <v>145</v>
      </c>
      <c r="G57" s="38">
        <v>2</v>
      </c>
      <c r="H57" t="s">
        <v>39</v>
      </c>
      <c r="I57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38">
        <v>2</v>
      </c>
      <c r="F58" s="12" t="s">
        <v>145</v>
      </c>
      <c r="G58" s="38">
        <v>1</v>
      </c>
      <c r="H58" t="s">
        <v>51</v>
      </c>
      <c r="I58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38">
        <v>0</v>
      </c>
      <c r="F59" s="12" t="s">
        <v>145</v>
      </c>
      <c r="G59" s="38">
        <v>3</v>
      </c>
      <c r="H59" t="s">
        <v>43</v>
      </c>
      <c r="I59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38">
        <v>2</v>
      </c>
      <c r="F60" s="12" t="s">
        <v>145</v>
      </c>
      <c r="G60" s="38">
        <v>1</v>
      </c>
      <c r="H60" t="s">
        <v>34</v>
      </c>
      <c r="I60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38">
        <v>1</v>
      </c>
      <c r="F61" s="12" t="s">
        <v>145</v>
      </c>
      <c r="G61" s="38">
        <v>2</v>
      </c>
      <c r="H61" t="s">
        <v>19</v>
      </c>
      <c r="I61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38">
        <v>1</v>
      </c>
      <c r="F62" s="12" t="s">
        <v>145</v>
      </c>
      <c r="G62" s="38">
        <v>2</v>
      </c>
      <c r="H62" t="s">
        <v>68</v>
      </c>
      <c r="I62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38">
        <v>2</v>
      </c>
      <c r="F63" s="12" t="s">
        <v>145</v>
      </c>
      <c r="G63" s="38">
        <v>1</v>
      </c>
      <c r="H63" t="s">
        <v>72</v>
      </c>
      <c r="I63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38">
        <v>1</v>
      </c>
      <c r="F64" s="12" t="s">
        <v>145</v>
      </c>
      <c r="G64" s="38">
        <v>2</v>
      </c>
      <c r="H64" t="s">
        <v>62</v>
      </c>
      <c r="I64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38">
        <v>0</v>
      </c>
      <c r="F65" s="12" t="s">
        <v>145</v>
      </c>
      <c r="G65" s="38">
        <v>2</v>
      </c>
      <c r="H65" t="s">
        <v>54</v>
      </c>
      <c r="I65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38">
        <v>1</v>
      </c>
      <c r="F66" s="12" t="s">
        <v>145</v>
      </c>
      <c r="G66" s="38">
        <v>1</v>
      </c>
      <c r="H66" t="s">
        <v>65</v>
      </c>
      <c r="I66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38">
        <v>0</v>
      </c>
      <c r="F67" s="12" t="s">
        <v>145</v>
      </c>
      <c r="G67" s="38">
        <v>2</v>
      </c>
      <c r="H67" t="s">
        <v>59</v>
      </c>
      <c r="I67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38">
        <v>1</v>
      </c>
      <c r="F68" s="12" t="s">
        <v>145</v>
      </c>
      <c r="G68" s="38">
        <v>1</v>
      </c>
      <c r="H68" t="s">
        <v>88</v>
      </c>
      <c r="I68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38">
        <v>0</v>
      </c>
      <c r="F69" s="12" t="s">
        <v>145</v>
      </c>
      <c r="G69" s="38">
        <v>2</v>
      </c>
      <c r="H69" t="s">
        <v>85</v>
      </c>
      <c r="I69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38">
        <v>2</v>
      </c>
      <c r="F70" s="12" t="s">
        <v>145</v>
      </c>
      <c r="G70" s="38">
        <v>2</v>
      </c>
      <c r="H70" t="s">
        <v>82</v>
      </c>
      <c r="I70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38">
        <v>1</v>
      </c>
      <c r="F71" s="12" t="s">
        <v>145</v>
      </c>
      <c r="G71" s="38">
        <v>1</v>
      </c>
      <c r="H71" t="s">
        <v>91</v>
      </c>
      <c r="I71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38">
        <v>1</v>
      </c>
      <c r="F72" s="12" t="s">
        <v>145</v>
      </c>
      <c r="G72" s="38">
        <v>2</v>
      </c>
      <c r="H72" t="s">
        <v>78</v>
      </c>
      <c r="I72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38">
        <v>0</v>
      </c>
      <c r="F73" s="12" t="s">
        <v>145</v>
      </c>
      <c r="G73" s="38">
        <v>2</v>
      </c>
      <c r="H73" t="s">
        <v>75</v>
      </c>
      <c r="I73" s="12">
        <f>IF(OR(Tabela_33460[[#This Row],[Placar Mandante]]="",Tabela_33460[[#This Row],[Placar Visitante]]="",Tabela_3[[#This Row],[Placar Mandante]]="",Tabela_3[[#This Row],[Placar Visitante]]=""),0,
IF(AND(Tabela_33460[[#This Row],[Placar Mandante]]=Tabela_3[[#This Row],[Placar Mandante]],Tabela_33460[[#This Row],[Placar Visitante]]=Tabela_3[[#This Row],[Placar Visitante]]),3,
IF(SIGN(Tabela_33460[[#This Row],[Placar Mandante]]-Tabela_33460[[#This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80EB-CC91-4242-8731-3A773D64881A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2.664062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1</v>
      </c>
      <c r="H2" t="s">
        <v>7</v>
      </c>
      <c r="I2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  <c r="J2" s="13"/>
      <c r="K2" s="3">
        <f>SUM(Tabela_33461[Pontuação])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0</v>
      </c>
      <c r="H3" t="s">
        <v>12</v>
      </c>
      <c r="I3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0</v>
      </c>
      <c r="H4" t="s">
        <v>16</v>
      </c>
      <c r="I4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2</v>
      </c>
      <c r="F5" s="12" t="s">
        <v>145</v>
      </c>
      <c r="G5" s="12">
        <v>0</v>
      </c>
      <c r="H5" t="s">
        <v>20</v>
      </c>
      <c r="I5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0</v>
      </c>
      <c r="H7" t="s">
        <v>28</v>
      </c>
      <c r="I7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1</v>
      </c>
      <c r="H8" t="s">
        <v>32</v>
      </c>
      <c r="I8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0</v>
      </c>
      <c r="F9" s="12" t="s">
        <v>145</v>
      </c>
      <c r="G9" s="12">
        <v>1</v>
      </c>
      <c r="H9" t="s">
        <v>35</v>
      </c>
      <c r="I9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3</v>
      </c>
      <c r="F10" s="12" t="s">
        <v>145</v>
      </c>
      <c r="G10" s="12">
        <v>0</v>
      </c>
      <c r="H10" t="s">
        <v>40</v>
      </c>
      <c r="I10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0</v>
      </c>
      <c r="H11" t="s">
        <v>44</v>
      </c>
      <c r="I11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0</v>
      </c>
      <c r="F12" s="12" t="s">
        <v>145</v>
      </c>
      <c r="G12" s="12">
        <v>1</v>
      </c>
      <c r="H12" t="s">
        <v>48</v>
      </c>
      <c r="I12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0</v>
      </c>
      <c r="H13" t="s">
        <v>52</v>
      </c>
      <c r="I13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4</v>
      </c>
      <c r="F14" s="12" t="s">
        <v>145</v>
      </c>
      <c r="G14" s="12">
        <v>0</v>
      </c>
      <c r="H14" t="s">
        <v>55</v>
      </c>
      <c r="I14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1</v>
      </c>
      <c r="H15" t="s">
        <v>60</v>
      </c>
      <c r="I15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0</v>
      </c>
      <c r="H17" t="s">
        <v>66</v>
      </c>
      <c r="I17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3</v>
      </c>
      <c r="F18" s="12" t="s">
        <v>145</v>
      </c>
      <c r="G18" s="12">
        <v>2</v>
      </c>
      <c r="H18" t="s">
        <v>69</v>
      </c>
      <c r="I18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1</v>
      </c>
      <c r="H19" t="s">
        <v>73</v>
      </c>
      <c r="I19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2</v>
      </c>
      <c r="F20" s="12" t="s">
        <v>145</v>
      </c>
      <c r="G20" s="12">
        <v>0</v>
      </c>
      <c r="H20" t="s">
        <v>76</v>
      </c>
      <c r="I20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1</v>
      </c>
      <c r="F21" s="12" t="s">
        <v>145</v>
      </c>
      <c r="G21" s="12">
        <v>0</v>
      </c>
      <c r="H21" t="s">
        <v>79</v>
      </c>
      <c r="I21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2</v>
      </c>
      <c r="F22" s="12" t="s">
        <v>145</v>
      </c>
      <c r="G22" s="12">
        <v>0</v>
      </c>
      <c r="H22" t="s">
        <v>83</v>
      </c>
      <c r="I22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1</v>
      </c>
      <c r="F23" s="12" t="s">
        <v>145</v>
      </c>
      <c r="G23" s="12">
        <v>0</v>
      </c>
      <c r="H23" t="s">
        <v>86</v>
      </c>
      <c r="I23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1</v>
      </c>
      <c r="F24" s="12" t="s">
        <v>145</v>
      </c>
      <c r="G24" s="12">
        <v>0</v>
      </c>
      <c r="H24" t="s">
        <v>89</v>
      </c>
      <c r="I24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1</v>
      </c>
      <c r="H25" t="s">
        <v>92</v>
      </c>
      <c r="I25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1</v>
      </c>
      <c r="F26" s="12" t="s">
        <v>145</v>
      </c>
      <c r="G26" s="12">
        <v>0</v>
      </c>
      <c r="H26" t="s">
        <v>7</v>
      </c>
      <c r="I26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0</v>
      </c>
      <c r="H27" t="s">
        <v>16</v>
      </c>
      <c r="I27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1</v>
      </c>
      <c r="F28" s="12" t="s">
        <v>145</v>
      </c>
      <c r="G28" s="12">
        <v>0</v>
      </c>
      <c r="H28" t="s">
        <v>23</v>
      </c>
      <c r="I28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1</v>
      </c>
      <c r="F29" s="12" t="s">
        <v>145</v>
      </c>
      <c r="G29" s="12">
        <v>0</v>
      </c>
      <c r="H29" t="s">
        <v>11</v>
      </c>
      <c r="I29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1</v>
      </c>
      <c r="F30" s="12" t="s">
        <v>145</v>
      </c>
      <c r="G30" s="12">
        <v>0</v>
      </c>
      <c r="H30" t="s">
        <v>34</v>
      </c>
      <c r="I30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0</v>
      </c>
      <c r="F31" s="12" t="s">
        <v>145</v>
      </c>
      <c r="G31" s="12">
        <v>1</v>
      </c>
      <c r="H31" t="s">
        <v>28</v>
      </c>
      <c r="I31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3</v>
      </c>
      <c r="F32" s="12" t="s">
        <v>145</v>
      </c>
      <c r="G32" s="12">
        <v>0</v>
      </c>
      <c r="H32" t="s">
        <v>31</v>
      </c>
      <c r="I32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0</v>
      </c>
      <c r="H33" t="s">
        <v>20</v>
      </c>
      <c r="I33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0</v>
      </c>
      <c r="F34" s="12" t="s">
        <v>145</v>
      </c>
      <c r="G34" s="12">
        <v>1</v>
      </c>
      <c r="H34" t="s">
        <v>51</v>
      </c>
      <c r="I34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0</v>
      </c>
      <c r="H35" t="s">
        <v>47</v>
      </c>
      <c r="I35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0</v>
      </c>
      <c r="F37" s="12" t="s">
        <v>145</v>
      </c>
      <c r="G37" s="12">
        <v>1</v>
      </c>
      <c r="H37" t="s">
        <v>44</v>
      </c>
      <c r="I37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0</v>
      </c>
      <c r="H38" t="s">
        <v>62</v>
      </c>
      <c r="I38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0</v>
      </c>
      <c r="H39" t="s">
        <v>65</v>
      </c>
      <c r="I39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1</v>
      </c>
      <c r="F40" s="12" t="s">
        <v>145</v>
      </c>
      <c r="G40" s="12">
        <v>0</v>
      </c>
      <c r="H40" t="s">
        <v>55</v>
      </c>
      <c r="I40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1</v>
      </c>
      <c r="H41" t="s">
        <v>60</v>
      </c>
      <c r="I41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1</v>
      </c>
      <c r="F42" s="12" t="s">
        <v>145</v>
      </c>
      <c r="G42" s="12">
        <v>0</v>
      </c>
      <c r="H42" t="s">
        <v>78</v>
      </c>
      <c r="I42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1</v>
      </c>
      <c r="H44" t="s">
        <v>69</v>
      </c>
      <c r="I44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1</v>
      </c>
      <c r="H45" t="s">
        <v>76</v>
      </c>
      <c r="I45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2</v>
      </c>
      <c r="F46" s="12" t="s">
        <v>145</v>
      </c>
      <c r="G46" s="12">
        <v>0</v>
      </c>
      <c r="H46" t="s">
        <v>91</v>
      </c>
      <c r="I46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0</v>
      </c>
      <c r="H47" t="s">
        <v>88</v>
      </c>
      <c r="I47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1</v>
      </c>
      <c r="H48" t="s">
        <v>86</v>
      </c>
      <c r="I48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1</v>
      </c>
      <c r="F49" s="12" t="s">
        <v>145</v>
      </c>
      <c r="G49" s="12">
        <v>1</v>
      </c>
      <c r="H49" t="s">
        <v>83</v>
      </c>
      <c r="I49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0</v>
      </c>
      <c r="H50" t="s">
        <v>23</v>
      </c>
      <c r="I50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0</v>
      </c>
      <c r="H51" t="s">
        <v>15</v>
      </c>
      <c r="I51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1</v>
      </c>
      <c r="F52" s="12" t="s">
        <v>145</v>
      </c>
      <c r="G52" s="12">
        <v>2</v>
      </c>
      <c r="H52" t="s">
        <v>27</v>
      </c>
      <c r="I52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2</v>
      </c>
      <c r="F53" s="12" t="s">
        <v>145</v>
      </c>
      <c r="G53" s="12">
        <v>0</v>
      </c>
      <c r="H53" t="s">
        <v>31</v>
      </c>
      <c r="I53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0</v>
      </c>
      <c r="F54" s="12" t="s">
        <v>145</v>
      </c>
      <c r="G54" s="12">
        <v>1</v>
      </c>
      <c r="H54" t="s">
        <v>11</v>
      </c>
      <c r="I54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0</v>
      </c>
      <c r="F55" s="12" t="s">
        <v>145</v>
      </c>
      <c r="G55" s="12">
        <v>1</v>
      </c>
      <c r="H55" t="s">
        <v>6</v>
      </c>
      <c r="I55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1</v>
      </c>
      <c r="H56" t="s">
        <v>47</v>
      </c>
      <c r="I56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0</v>
      </c>
      <c r="F57" s="12" t="s">
        <v>145</v>
      </c>
      <c r="G57" s="12">
        <v>1</v>
      </c>
      <c r="H57" t="s">
        <v>39</v>
      </c>
      <c r="I57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0</v>
      </c>
      <c r="F58" s="12" t="s">
        <v>145</v>
      </c>
      <c r="G58" s="12">
        <v>1</v>
      </c>
      <c r="H58" t="s">
        <v>51</v>
      </c>
      <c r="I58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1</v>
      </c>
      <c r="H59" t="s">
        <v>43</v>
      </c>
      <c r="I59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0</v>
      </c>
      <c r="F60" s="12" t="s">
        <v>145</v>
      </c>
      <c r="G60" s="12">
        <v>0</v>
      </c>
      <c r="H60" t="s">
        <v>34</v>
      </c>
      <c r="I60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0</v>
      </c>
      <c r="F61" s="12" t="s">
        <v>145</v>
      </c>
      <c r="G61" s="12">
        <v>0</v>
      </c>
      <c r="H61" t="s">
        <v>19</v>
      </c>
      <c r="I61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0</v>
      </c>
      <c r="F62" s="12" t="s">
        <v>145</v>
      </c>
      <c r="G62" s="12">
        <v>1</v>
      </c>
      <c r="H62" t="s">
        <v>68</v>
      </c>
      <c r="I62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1</v>
      </c>
      <c r="F63" s="12" t="s">
        <v>145</v>
      </c>
      <c r="G63" s="12">
        <v>0</v>
      </c>
      <c r="H63" t="s">
        <v>72</v>
      </c>
      <c r="I63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1</v>
      </c>
      <c r="H64" t="s">
        <v>62</v>
      </c>
      <c r="I64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0</v>
      </c>
      <c r="F65" s="12" t="s">
        <v>145</v>
      </c>
      <c r="G65" s="12">
        <v>2</v>
      </c>
      <c r="H65" t="s">
        <v>54</v>
      </c>
      <c r="I65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1</v>
      </c>
      <c r="H66" t="s">
        <v>65</v>
      </c>
      <c r="I66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1</v>
      </c>
      <c r="H67" t="s">
        <v>59</v>
      </c>
      <c r="I67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0</v>
      </c>
      <c r="H68" t="s">
        <v>88</v>
      </c>
      <c r="I68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1</v>
      </c>
      <c r="F69" s="12" t="s">
        <v>145</v>
      </c>
      <c r="G69" s="12">
        <v>2</v>
      </c>
      <c r="H69" t="s">
        <v>85</v>
      </c>
      <c r="I69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0</v>
      </c>
      <c r="F70" s="12" t="s">
        <v>145</v>
      </c>
      <c r="G70" s="12">
        <v>2</v>
      </c>
      <c r="H70" t="s">
        <v>82</v>
      </c>
      <c r="I70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0</v>
      </c>
      <c r="F71" s="12" t="s">
        <v>145</v>
      </c>
      <c r="G71" s="12">
        <v>1</v>
      </c>
      <c r="H71" t="s">
        <v>91</v>
      </c>
      <c r="I71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0</v>
      </c>
      <c r="F72" s="12" t="s">
        <v>145</v>
      </c>
      <c r="G72" s="12">
        <v>1</v>
      </c>
      <c r="H72" t="s">
        <v>78</v>
      </c>
      <c r="I72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IF(OR(Tabela_33461[[#This Row],[Placar Mandante]]="",Tabela_33461[[#This Row],[Placar Visitante]]="",Tabela_3[[#This Row],[Placar Mandante]]="",Tabela_3[[#This Row],[Placar Visitante]]=""),0,
IF(AND(Tabela_33461[[#This Row],[Placar Mandante]]=Tabela_3[[#This Row],[Placar Mandante]],Tabela_33461[[#This Row],[Placar Visitante]]=Tabela_3[[#This Row],[Placar Visitante]]),3,
IF(SIGN(Tabela_33461[[#This Row],[Placar Mandante]]-Tabela_33461[[#This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06EE-6023-4E8C-95B7-E336D2DCF60D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6640625" style="11" hidden="1" customWidth="1"/>
    <col min="2" max="2" width="10.33203125" style="11" bestFit="1" customWidth="1"/>
    <col min="3" max="3" width="9.44140625" style="11" bestFit="1" customWidth="1"/>
    <col min="4" max="4" width="18.33203125" style="11" bestFit="1" customWidth="1"/>
    <col min="5" max="5" width="18.33203125" style="11" customWidth="1"/>
    <col min="6" max="6" width="4.21875" style="12" bestFit="1" customWidth="1"/>
    <col min="7" max="7" width="18.33203125" style="11" customWidth="1"/>
    <col min="8" max="8" width="18.33203125" style="11" bestFit="1" customWidth="1"/>
    <col min="9" max="9" width="8.88671875" style="11"/>
    <col min="10" max="10" width="13.4414062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1</v>
      </c>
      <c r="F2" s="12" t="s">
        <v>145</v>
      </c>
      <c r="G2" s="12">
        <v>0</v>
      </c>
      <c r="H2" t="s">
        <v>7</v>
      </c>
      <c r="I2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  <c r="J2" s="13"/>
      <c r="K2" s="3">
        <f>SUM(Tabela_33462[Pontuação])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2</v>
      </c>
      <c r="H3" t="s">
        <v>12</v>
      </c>
      <c r="I3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0</v>
      </c>
      <c r="F4" s="12" t="s">
        <v>145</v>
      </c>
      <c r="G4" s="12">
        <v>0</v>
      </c>
      <c r="H4" t="s">
        <v>16</v>
      </c>
      <c r="I4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2</v>
      </c>
      <c r="F5" s="12" t="s">
        <v>145</v>
      </c>
      <c r="G5" s="12">
        <v>1</v>
      </c>
      <c r="H5" t="s">
        <v>20</v>
      </c>
      <c r="I5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3</v>
      </c>
      <c r="H6" t="s">
        <v>24</v>
      </c>
      <c r="I6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1</v>
      </c>
      <c r="H7" t="s">
        <v>28</v>
      </c>
      <c r="I7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2</v>
      </c>
      <c r="H8" t="s">
        <v>32</v>
      </c>
      <c r="I8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2</v>
      </c>
      <c r="H9" t="s">
        <v>35</v>
      </c>
      <c r="I9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5</v>
      </c>
      <c r="F10" s="12" t="s">
        <v>145</v>
      </c>
      <c r="G10" s="12">
        <v>0</v>
      </c>
      <c r="H10" t="s">
        <v>40</v>
      </c>
      <c r="I10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1</v>
      </c>
      <c r="H11" t="s">
        <v>44</v>
      </c>
      <c r="I11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0</v>
      </c>
      <c r="H12" t="s">
        <v>48</v>
      </c>
      <c r="I12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0</v>
      </c>
      <c r="H13" t="s">
        <v>52</v>
      </c>
      <c r="I13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4</v>
      </c>
      <c r="F14" s="12" t="s">
        <v>145</v>
      </c>
      <c r="G14" s="12">
        <v>0</v>
      </c>
      <c r="H14" t="s">
        <v>55</v>
      </c>
      <c r="I14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1</v>
      </c>
      <c r="H15" t="s">
        <v>60</v>
      </c>
      <c r="I15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1</v>
      </c>
      <c r="F16" s="12" t="s">
        <v>145</v>
      </c>
      <c r="G16" s="12">
        <v>1</v>
      </c>
      <c r="H16" t="s">
        <v>63</v>
      </c>
      <c r="I16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2</v>
      </c>
      <c r="F17" s="12" t="s">
        <v>145</v>
      </c>
      <c r="G17" s="12">
        <v>0</v>
      </c>
      <c r="H17" t="s">
        <v>66</v>
      </c>
      <c r="I17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0</v>
      </c>
      <c r="H18" t="s">
        <v>69</v>
      </c>
      <c r="I18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1</v>
      </c>
      <c r="F19" s="12" t="s">
        <v>145</v>
      </c>
      <c r="G19" s="12">
        <v>3</v>
      </c>
      <c r="H19" t="s">
        <v>73</v>
      </c>
      <c r="I19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1</v>
      </c>
      <c r="H20" t="s">
        <v>76</v>
      </c>
      <c r="I20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3</v>
      </c>
      <c r="F21" s="12" t="s">
        <v>145</v>
      </c>
      <c r="G21" s="12">
        <v>0</v>
      </c>
      <c r="H21" t="s">
        <v>79</v>
      </c>
      <c r="I21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2</v>
      </c>
      <c r="F22" s="12" t="s">
        <v>145</v>
      </c>
      <c r="G22" s="12">
        <v>0</v>
      </c>
      <c r="H22" t="s">
        <v>83</v>
      </c>
      <c r="I22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3</v>
      </c>
      <c r="F23" s="12" t="s">
        <v>145</v>
      </c>
      <c r="G23" s="12">
        <v>2</v>
      </c>
      <c r="H23" t="s">
        <v>86</v>
      </c>
      <c r="I23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2</v>
      </c>
      <c r="F24" s="12" t="s">
        <v>145</v>
      </c>
      <c r="G24" s="12">
        <v>0</v>
      </c>
      <c r="H24" t="s">
        <v>89</v>
      </c>
      <c r="I24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1</v>
      </c>
      <c r="F26" s="12" t="s">
        <v>145</v>
      </c>
      <c r="G26" s="12">
        <v>0</v>
      </c>
      <c r="H26" t="s">
        <v>7</v>
      </c>
      <c r="I26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3</v>
      </c>
      <c r="F27" s="12" t="s">
        <v>145</v>
      </c>
      <c r="G27" s="12">
        <v>1</v>
      </c>
      <c r="H27" t="s">
        <v>16</v>
      </c>
      <c r="I27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1</v>
      </c>
      <c r="F28" s="12" t="s">
        <v>145</v>
      </c>
      <c r="G28" s="12">
        <v>0</v>
      </c>
      <c r="H28" t="s">
        <v>23</v>
      </c>
      <c r="I28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2</v>
      </c>
      <c r="H29" t="s">
        <v>11</v>
      </c>
      <c r="I29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0</v>
      </c>
      <c r="H30" t="s">
        <v>34</v>
      </c>
      <c r="I30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2</v>
      </c>
      <c r="H31" t="s">
        <v>28</v>
      </c>
      <c r="I31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0</v>
      </c>
      <c r="H32" t="s">
        <v>31</v>
      </c>
      <c r="I32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2</v>
      </c>
      <c r="F33" s="12" t="s">
        <v>145</v>
      </c>
      <c r="G33" s="12">
        <v>2</v>
      </c>
      <c r="H33" t="s">
        <v>20</v>
      </c>
      <c r="I33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1</v>
      </c>
      <c r="F34" s="12" t="s">
        <v>145</v>
      </c>
      <c r="G34" s="12">
        <v>0</v>
      </c>
      <c r="H34" t="s">
        <v>51</v>
      </c>
      <c r="I34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1</v>
      </c>
      <c r="H35" t="s">
        <v>47</v>
      </c>
      <c r="I35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0</v>
      </c>
      <c r="F37" s="12" t="s">
        <v>145</v>
      </c>
      <c r="G37" s="12">
        <v>2</v>
      </c>
      <c r="H37" t="s">
        <v>44</v>
      </c>
      <c r="I37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0</v>
      </c>
      <c r="H38" t="s">
        <v>62</v>
      </c>
      <c r="I38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3</v>
      </c>
      <c r="F39" s="12" t="s">
        <v>145</v>
      </c>
      <c r="G39" s="12">
        <v>1</v>
      </c>
      <c r="H39" t="s">
        <v>65</v>
      </c>
      <c r="I39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2</v>
      </c>
      <c r="F40" s="12" t="s">
        <v>145</v>
      </c>
      <c r="G40" s="12">
        <v>0</v>
      </c>
      <c r="H40" t="s">
        <v>55</v>
      </c>
      <c r="I40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3</v>
      </c>
      <c r="H41" t="s">
        <v>60</v>
      </c>
      <c r="I41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1</v>
      </c>
      <c r="F42" s="12" t="s">
        <v>145</v>
      </c>
      <c r="G42" s="12">
        <v>0</v>
      </c>
      <c r="H42" t="s">
        <v>78</v>
      </c>
      <c r="I42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5</v>
      </c>
      <c r="F43" s="12" t="s">
        <v>145</v>
      </c>
      <c r="G43" s="12">
        <v>0</v>
      </c>
      <c r="H43" t="s">
        <v>72</v>
      </c>
      <c r="I43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1</v>
      </c>
      <c r="H44" t="s">
        <v>69</v>
      </c>
      <c r="I44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3</v>
      </c>
      <c r="H45" t="s">
        <v>76</v>
      </c>
      <c r="I45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4</v>
      </c>
      <c r="F46" s="12" t="s">
        <v>145</v>
      </c>
      <c r="G46" s="12">
        <v>0</v>
      </c>
      <c r="H46" t="s">
        <v>91</v>
      </c>
      <c r="I46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0</v>
      </c>
      <c r="F47" s="12" t="s">
        <v>145</v>
      </c>
      <c r="G47" s="12">
        <v>1</v>
      </c>
      <c r="H47" t="s">
        <v>88</v>
      </c>
      <c r="I47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1</v>
      </c>
      <c r="F49" s="12" t="s">
        <v>145</v>
      </c>
      <c r="G49" s="12">
        <v>1</v>
      </c>
      <c r="H49" t="s">
        <v>83</v>
      </c>
      <c r="I49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0</v>
      </c>
      <c r="F50" s="12" t="s">
        <v>145</v>
      </c>
      <c r="G50" s="12">
        <v>0</v>
      </c>
      <c r="H50" t="s">
        <v>23</v>
      </c>
      <c r="I50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2</v>
      </c>
      <c r="F51" s="12" t="s">
        <v>145</v>
      </c>
      <c r="G51" s="12">
        <v>1</v>
      </c>
      <c r="H51" t="s">
        <v>15</v>
      </c>
      <c r="I51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2</v>
      </c>
      <c r="F52" s="12" t="s">
        <v>145</v>
      </c>
      <c r="G52" s="12">
        <v>4</v>
      </c>
      <c r="H52" t="s">
        <v>27</v>
      </c>
      <c r="I52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0</v>
      </c>
      <c r="H53" t="s">
        <v>31</v>
      </c>
      <c r="I53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1</v>
      </c>
      <c r="F54" s="12" t="s">
        <v>145</v>
      </c>
      <c r="G54" s="12">
        <v>1</v>
      </c>
      <c r="H54" t="s">
        <v>11</v>
      </c>
      <c r="I54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0</v>
      </c>
      <c r="F55" s="12" t="s">
        <v>145</v>
      </c>
      <c r="G55" s="12">
        <v>1</v>
      </c>
      <c r="H55" t="s">
        <v>6</v>
      </c>
      <c r="I55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1</v>
      </c>
      <c r="F56" s="12" t="s">
        <v>145</v>
      </c>
      <c r="G56" s="12">
        <v>3</v>
      </c>
      <c r="H56" t="s">
        <v>47</v>
      </c>
      <c r="I56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0</v>
      </c>
      <c r="F57" s="12" t="s">
        <v>145</v>
      </c>
      <c r="G57" s="12">
        <v>2</v>
      </c>
      <c r="H57" t="s">
        <v>39</v>
      </c>
      <c r="I57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0</v>
      </c>
      <c r="H58" t="s">
        <v>51</v>
      </c>
      <c r="I58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1</v>
      </c>
      <c r="F59" s="12" t="s">
        <v>145</v>
      </c>
      <c r="G59" s="12">
        <v>4</v>
      </c>
      <c r="H59" t="s">
        <v>43</v>
      </c>
      <c r="I59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0</v>
      </c>
      <c r="H60" t="s">
        <v>34</v>
      </c>
      <c r="I60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3</v>
      </c>
      <c r="F61" s="12" t="s">
        <v>145</v>
      </c>
      <c r="G61" s="12">
        <v>3</v>
      </c>
      <c r="H61" t="s">
        <v>19</v>
      </c>
      <c r="I61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2</v>
      </c>
      <c r="F62" s="12" t="s">
        <v>145</v>
      </c>
      <c r="G62" s="12">
        <v>2</v>
      </c>
      <c r="H62" t="s">
        <v>68</v>
      </c>
      <c r="I62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3</v>
      </c>
      <c r="F63" s="12" t="s">
        <v>145</v>
      </c>
      <c r="G63" s="12">
        <v>1</v>
      </c>
      <c r="H63" t="s">
        <v>72</v>
      </c>
      <c r="I63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2</v>
      </c>
      <c r="H64" t="s">
        <v>62</v>
      </c>
      <c r="I64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3</v>
      </c>
      <c r="H65" t="s">
        <v>54</v>
      </c>
      <c r="I65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2</v>
      </c>
      <c r="F66" s="12" t="s">
        <v>145</v>
      </c>
      <c r="G66" s="12">
        <v>0</v>
      </c>
      <c r="H66" t="s">
        <v>65</v>
      </c>
      <c r="I66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5</v>
      </c>
      <c r="H67" t="s">
        <v>59</v>
      </c>
      <c r="I67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1</v>
      </c>
      <c r="F68" s="12" t="s">
        <v>145</v>
      </c>
      <c r="G68" s="12">
        <v>1</v>
      </c>
      <c r="H68" t="s">
        <v>88</v>
      </c>
      <c r="I68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2</v>
      </c>
      <c r="F70" s="12" t="s">
        <v>145</v>
      </c>
      <c r="G70" s="12">
        <v>2</v>
      </c>
      <c r="H70" t="s">
        <v>82</v>
      </c>
      <c r="I70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2</v>
      </c>
      <c r="F71" s="12" t="s">
        <v>145</v>
      </c>
      <c r="G71" s="12">
        <v>0</v>
      </c>
      <c r="H71" t="s">
        <v>91</v>
      </c>
      <c r="I71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1</v>
      </c>
      <c r="F72" s="12" t="s">
        <v>145</v>
      </c>
      <c r="G72" s="12">
        <v>1</v>
      </c>
      <c r="H72" t="s">
        <v>78</v>
      </c>
      <c r="I72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IF(OR(Tabela_33462[[#This Row],[Placar Mandante]]="",Tabela_33462[[#This Row],[Placar Visitante]]="",Tabela_3[[#This Row],[Placar Mandante]]="",Tabela_3[[#This Row],[Placar Visitante]]=""),0,
IF(AND(Tabela_33462[[#This Row],[Placar Mandante]]=Tabela_3[[#This Row],[Placar Mandante]],Tabela_33462[[#This Row],[Placar Visitante]]=Tabela_3[[#This Row],[Placar Visitante]]),3,
IF(SIGN(Tabela_33462[[#This Row],[Placar Mandante]]-Tabela_33462[[#This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77791-1AAD-4010-B528-553A29750716}">
  <dimension ref="A1:K73"/>
  <sheetViews>
    <sheetView topLeftCell="B1" zoomScaleNormal="100" workbookViewId="0">
      <selection activeCell="H75" sqref="H75"/>
    </sheetView>
  </sheetViews>
  <sheetFormatPr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2.554687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0</v>
      </c>
      <c r="H2" t="s">
        <v>7</v>
      </c>
      <c r="I2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  <c r="J2" s="13"/>
      <c r="K2" s="3">
        <f>SUM(Tabela_33467[Pontuação])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0</v>
      </c>
      <c r="F3" s="12" t="s">
        <v>145</v>
      </c>
      <c r="G3" s="12">
        <v>0</v>
      </c>
      <c r="H3" t="s">
        <v>12</v>
      </c>
      <c r="I3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0</v>
      </c>
      <c r="H4" t="s">
        <v>16</v>
      </c>
      <c r="I4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2</v>
      </c>
      <c r="F5" s="12" t="s">
        <v>145</v>
      </c>
      <c r="G5" s="12">
        <v>2</v>
      </c>
      <c r="H5" t="s">
        <v>20</v>
      </c>
      <c r="I5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1</v>
      </c>
      <c r="H7" t="s">
        <v>28</v>
      </c>
      <c r="I7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1</v>
      </c>
      <c r="F8" s="12" t="s">
        <v>145</v>
      </c>
      <c r="G8" s="12">
        <v>1</v>
      </c>
      <c r="H8" t="s">
        <v>32</v>
      </c>
      <c r="I8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0</v>
      </c>
      <c r="F9" s="12" t="s">
        <v>145</v>
      </c>
      <c r="G9" s="12">
        <v>0</v>
      </c>
      <c r="H9" t="s">
        <v>35</v>
      </c>
      <c r="I9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5</v>
      </c>
      <c r="F10" s="12" t="s">
        <v>145</v>
      </c>
      <c r="G10" s="12">
        <v>0</v>
      </c>
      <c r="H10" t="s">
        <v>40</v>
      </c>
      <c r="I10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0</v>
      </c>
      <c r="H11" t="s">
        <v>44</v>
      </c>
      <c r="I11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1</v>
      </c>
      <c r="H12" t="s">
        <v>48</v>
      </c>
      <c r="I12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1</v>
      </c>
      <c r="H13" t="s">
        <v>52</v>
      </c>
      <c r="I13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4</v>
      </c>
      <c r="F14" s="12" t="s">
        <v>145</v>
      </c>
      <c r="G14" s="12">
        <v>0</v>
      </c>
      <c r="H14" t="s">
        <v>55</v>
      </c>
      <c r="I14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0</v>
      </c>
      <c r="H15" t="s">
        <v>60</v>
      </c>
      <c r="I15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1</v>
      </c>
      <c r="F16" s="12" t="s">
        <v>145</v>
      </c>
      <c r="G16" s="12">
        <v>3</v>
      </c>
      <c r="H16" t="s">
        <v>63</v>
      </c>
      <c r="I16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0</v>
      </c>
      <c r="F17" s="12" t="s">
        <v>145</v>
      </c>
      <c r="G17" s="12">
        <v>0</v>
      </c>
      <c r="H17" t="s">
        <v>66</v>
      </c>
      <c r="I17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3</v>
      </c>
      <c r="F18" s="12" t="s">
        <v>145</v>
      </c>
      <c r="G18" s="12">
        <v>1</v>
      </c>
      <c r="H18" t="s">
        <v>69</v>
      </c>
      <c r="I18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1</v>
      </c>
      <c r="F19" s="12" t="s">
        <v>145</v>
      </c>
      <c r="G19" s="12">
        <v>1</v>
      </c>
      <c r="H19" t="s">
        <v>73</v>
      </c>
      <c r="I19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1</v>
      </c>
      <c r="H20" t="s">
        <v>76</v>
      </c>
      <c r="I20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0</v>
      </c>
      <c r="F21" s="12" t="s">
        <v>145</v>
      </c>
      <c r="G21" s="12">
        <v>0</v>
      </c>
      <c r="H21" t="s">
        <v>79</v>
      </c>
      <c r="I21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0</v>
      </c>
      <c r="H22" t="s">
        <v>83</v>
      </c>
      <c r="I22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2</v>
      </c>
      <c r="H23" t="s">
        <v>86</v>
      </c>
      <c r="I23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0</v>
      </c>
      <c r="F24" s="12">
        <v>0</v>
      </c>
      <c r="G24" s="12">
        <v>0</v>
      </c>
      <c r="H24" t="s">
        <v>89</v>
      </c>
      <c r="I24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1</v>
      </c>
      <c r="F26" s="12" t="s">
        <v>145</v>
      </c>
      <c r="G26" s="12">
        <v>1</v>
      </c>
      <c r="H26" t="s">
        <v>7</v>
      </c>
      <c r="I26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1</v>
      </c>
      <c r="F27" s="12" t="s">
        <v>145</v>
      </c>
      <c r="G27" s="12">
        <v>0</v>
      </c>
      <c r="H27" t="s">
        <v>16</v>
      </c>
      <c r="I27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0</v>
      </c>
      <c r="H28" t="s">
        <v>23</v>
      </c>
      <c r="I28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0</v>
      </c>
      <c r="H30" t="s">
        <v>34</v>
      </c>
      <c r="I30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0</v>
      </c>
      <c r="F31" s="12" t="s">
        <v>145</v>
      </c>
      <c r="G31" s="12">
        <v>2</v>
      </c>
      <c r="H31" t="s">
        <v>28</v>
      </c>
      <c r="I31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3</v>
      </c>
      <c r="F32" s="12" t="s">
        <v>145</v>
      </c>
      <c r="G32" s="12">
        <v>0</v>
      </c>
      <c r="H32" t="s">
        <v>31</v>
      </c>
      <c r="I32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0</v>
      </c>
      <c r="F33" s="12" t="s">
        <v>145</v>
      </c>
      <c r="G33" s="12">
        <v>2</v>
      </c>
      <c r="H33" t="s">
        <v>20</v>
      </c>
      <c r="I33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0</v>
      </c>
      <c r="H34" t="s">
        <v>51</v>
      </c>
      <c r="I34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3</v>
      </c>
      <c r="F35" s="12" t="s">
        <v>145</v>
      </c>
      <c r="G35" s="12">
        <v>0</v>
      </c>
      <c r="H35" t="s">
        <v>47</v>
      </c>
      <c r="I35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3</v>
      </c>
      <c r="F36" s="12" t="s">
        <v>145</v>
      </c>
      <c r="G36" s="12">
        <v>0</v>
      </c>
      <c r="H36" t="s">
        <v>40</v>
      </c>
      <c r="I36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1</v>
      </c>
      <c r="H37" t="s">
        <v>44</v>
      </c>
      <c r="I37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0</v>
      </c>
      <c r="H38" t="s">
        <v>62</v>
      </c>
      <c r="I38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4</v>
      </c>
      <c r="F39" s="12" t="s">
        <v>145</v>
      </c>
      <c r="G39" s="12">
        <v>0</v>
      </c>
      <c r="H39" t="s">
        <v>65</v>
      </c>
      <c r="I39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0</v>
      </c>
      <c r="H40" t="s">
        <v>55</v>
      </c>
      <c r="I40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1</v>
      </c>
      <c r="F41" s="12" t="s">
        <v>145</v>
      </c>
      <c r="G41" s="12">
        <v>2</v>
      </c>
      <c r="H41" t="s">
        <v>60</v>
      </c>
      <c r="I41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3</v>
      </c>
      <c r="F42" s="12" t="s">
        <v>145</v>
      </c>
      <c r="G42" s="12">
        <v>1</v>
      </c>
      <c r="H42" t="s">
        <v>78</v>
      </c>
      <c r="I42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2</v>
      </c>
      <c r="H44" t="s">
        <v>69</v>
      </c>
      <c r="I44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2</v>
      </c>
      <c r="H45" t="s">
        <v>76</v>
      </c>
      <c r="I45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0</v>
      </c>
      <c r="H46" t="s">
        <v>91</v>
      </c>
      <c r="I46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1</v>
      </c>
      <c r="H47" t="s">
        <v>88</v>
      </c>
      <c r="I47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0</v>
      </c>
      <c r="H49" t="s">
        <v>83</v>
      </c>
      <c r="I49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1</v>
      </c>
      <c r="H50" t="s">
        <v>23</v>
      </c>
      <c r="I50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2</v>
      </c>
      <c r="H51" t="s">
        <v>15</v>
      </c>
      <c r="I51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4</v>
      </c>
      <c r="H52" t="s">
        <v>27</v>
      </c>
      <c r="I52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2</v>
      </c>
      <c r="F53" s="12" t="s">
        <v>145</v>
      </c>
      <c r="G53" s="12">
        <v>0</v>
      </c>
      <c r="H53" t="s">
        <v>31</v>
      </c>
      <c r="I53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2</v>
      </c>
      <c r="F54" s="12" t="s">
        <v>145</v>
      </c>
      <c r="G54" s="12">
        <v>2</v>
      </c>
      <c r="H54" t="s">
        <v>11</v>
      </c>
      <c r="I54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0</v>
      </c>
      <c r="F55" s="12" t="s">
        <v>145</v>
      </c>
      <c r="G55" s="12">
        <v>2</v>
      </c>
      <c r="H55" t="s">
        <v>6</v>
      </c>
      <c r="I55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2</v>
      </c>
      <c r="H56" t="s">
        <v>47</v>
      </c>
      <c r="I56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2</v>
      </c>
      <c r="F57" s="12" t="s">
        <v>145</v>
      </c>
      <c r="G57" s="12">
        <v>2</v>
      </c>
      <c r="H57" t="s">
        <v>39</v>
      </c>
      <c r="I57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2</v>
      </c>
      <c r="F58" s="12" t="s">
        <v>145</v>
      </c>
      <c r="G58" s="12">
        <v>1</v>
      </c>
      <c r="H58" t="s">
        <v>51</v>
      </c>
      <c r="I58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2</v>
      </c>
      <c r="H59" t="s">
        <v>43</v>
      </c>
      <c r="I59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0</v>
      </c>
      <c r="H60" t="s">
        <v>34</v>
      </c>
      <c r="I60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2</v>
      </c>
      <c r="H61" t="s">
        <v>19</v>
      </c>
      <c r="I61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0</v>
      </c>
      <c r="F62" s="12" t="s">
        <v>145</v>
      </c>
      <c r="G62" s="12">
        <v>2</v>
      </c>
      <c r="H62" t="s">
        <v>68</v>
      </c>
      <c r="I62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0</v>
      </c>
      <c r="H63" t="s">
        <v>72</v>
      </c>
      <c r="I63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2</v>
      </c>
      <c r="H64" t="s">
        <v>62</v>
      </c>
      <c r="I64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2</v>
      </c>
      <c r="H65" t="s">
        <v>54</v>
      </c>
      <c r="I65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1</v>
      </c>
      <c r="H66" t="s">
        <v>65</v>
      </c>
      <c r="I66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2</v>
      </c>
      <c r="H67" t="s">
        <v>59</v>
      </c>
      <c r="I67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1</v>
      </c>
      <c r="H68" t="s">
        <v>88</v>
      </c>
      <c r="I68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2</v>
      </c>
      <c r="H69" t="s">
        <v>85</v>
      </c>
      <c r="I69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1</v>
      </c>
      <c r="H70" t="s">
        <v>82</v>
      </c>
      <c r="I70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2</v>
      </c>
      <c r="H71" t="s">
        <v>91</v>
      </c>
      <c r="I71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0</v>
      </c>
      <c r="F72" s="12" t="s">
        <v>145</v>
      </c>
      <c r="G72" s="12">
        <v>0</v>
      </c>
      <c r="H72" t="s">
        <v>78</v>
      </c>
      <c r="I72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IF(OR(Tabela_33467[[#This Row],[Placar Mandante]]="",Tabela_33467[[#This Row],[Placar Visitante]]="",Tabela_3[[#This Row],[Placar Mandante]]="",Tabela_3[[#This Row],[Placar Visitante]]=""),0,
IF(AND(Tabela_33467[[#This Row],[Placar Mandante]]=Tabela_3[[#This Row],[Placar Mandante]],Tabela_33467[[#This Row],[Placar Visitante]]=Tabela_3[[#This Row],[Placar Visitante]]),3,
IF(SIGN(Tabela_33467[[#This Row],[Placar Mandante]]-Tabela_33467[[#This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4DFE-4110-4BE1-A504-CD79EDE446B4}">
  <sheetPr codeName="Planilha25"/>
  <dimension ref="A1:K73"/>
  <sheetViews>
    <sheetView topLeftCell="B1" workbookViewId="0">
      <selection activeCell="H75" sqref="H75"/>
    </sheetView>
  </sheetViews>
  <sheetFormatPr defaultRowHeight="14.4" x14ac:dyDescent="0.3"/>
  <cols>
    <col min="1" max="1" width="11.77734375" hidden="1" customWidth="1"/>
    <col min="2" max="2" width="10.33203125" bestFit="1" customWidth="1"/>
    <col min="3" max="3" width="9.44140625" bestFit="1" customWidth="1"/>
    <col min="4" max="4" width="18.21875" bestFit="1" customWidth="1"/>
    <col min="5" max="5" width="18.21875" customWidth="1"/>
    <col min="6" max="6" width="4.109375" style="2" bestFit="1" customWidth="1"/>
    <col min="7" max="7" width="18.21875" customWidth="1"/>
    <col min="8" max="8" width="18.21875" bestFit="1" customWidth="1"/>
    <col min="9" max="9" width="12" bestFit="1" customWidth="1"/>
    <col min="11" max="11" width="9.664062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t="s">
        <v>147</v>
      </c>
      <c r="K1" s="1" t="s">
        <v>147</v>
      </c>
    </row>
    <row r="2" spans="1:11" x14ac:dyDescent="0.3">
      <c r="A2" t="s">
        <v>5</v>
      </c>
      <c r="B2" t="s">
        <v>8</v>
      </c>
      <c r="C2" t="s">
        <v>9</v>
      </c>
      <c r="D2" t="s">
        <v>6</v>
      </c>
      <c r="E2" s="12">
        <v>2</v>
      </c>
      <c r="F2" s="2" t="s">
        <v>145</v>
      </c>
      <c r="G2" s="12">
        <v>0</v>
      </c>
      <c r="H2" t="s">
        <v>7</v>
      </c>
      <c r="I2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  <c r="K2" s="3">
        <f>SUM(Tabela_3350567[Pontuação])</f>
        <v>0</v>
      </c>
    </row>
    <row r="3" spans="1:11" x14ac:dyDescent="0.3">
      <c r="A3" t="s">
        <v>10</v>
      </c>
      <c r="B3" t="s">
        <v>8</v>
      </c>
      <c r="C3" t="s">
        <v>13</v>
      </c>
      <c r="D3" t="s">
        <v>11</v>
      </c>
      <c r="E3" s="12">
        <v>1</v>
      </c>
      <c r="F3" s="2" t="s">
        <v>145</v>
      </c>
      <c r="G3" s="12">
        <v>1</v>
      </c>
      <c r="H3" t="s">
        <v>12</v>
      </c>
      <c r="I3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4" spans="1:11" x14ac:dyDescent="0.3">
      <c r="A4" t="s">
        <v>14</v>
      </c>
      <c r="B4" t="s">
        <v>17</v>
      </c>
      <c r="C4" t="s">
        <v>9</v>
      </c>
      <c r="D4" t="s">
        <v>15</v>
      </c>
      <c r="E4" s="12">
        <v>2</v>
      </c>
      <c r="F4" s="2" t="s">
        <v>145</v>
      </c>
      <c r="G4" s="12">
        <v>1</v>
      </c>
      <c r="H4" t="s">
        <v>16</v>
      </c>
      <c r="I4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5" spans="1:11" x14ac:dyDescent="0.3">
      <c r="A5" t="s">
        <v>18</v>
      </c>
      <c r="B5" t="s">
        <v>17</v>
      </c>
      <c r="C5" t="s">
        <v>21</v>
      </c>
      <c r="D5" t="s">
        <v>19</v>
      </c>
      <c r="E5" s="12">
        <v>2</v>
      </c>
      <c r="F5" s="2" t="s">
        <v>145</v>
      </c>
      <c r="G5" s="12">
        <v>0</v>
      </c>
      <c r="H5" t="s">
        <v>20</v>
      </c>
      <c r="I5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6" spans="1:11" x14ac:dyDescent="0.3">
      <c r="A6" t="s">
        <v>22</v>
      </c>
      <c r="B6" t="s">
        <v>25</v>
      </c>
      <c r="C6" t="s">
        <v>9</v>
      </c>
      <c r="D6" t="s">
        <v>23</v>
      </c>
      <c r="E6" s="12">
        <v>0</v>
      </c>
      <c r="F6" s="2" t="s">
        <v>145</v>
      </c>
      <c r="G6" s="12">
        <v>2</v>
      </c>
      <c r="H6" t="s">
        <v>24</v>
      </c>
      <c r="I6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7" spans="1:11" x14ac:dyDescent="0.3">
      <c r="A7" t="s">
        <v>26</v>
      </c>
      <c r="B7" t="s">
        <v>25</v>
      </c>
      <c r="C7" t="s">
        <v>29</v>
      </c>
      <c r="D7" t="s">
        <v>27</v>
      </c>
      <c r="E7" s="12">
        <v>2</v>
      </c>
      <c r="F7" s="2" t="s">
        <v>145</v>
      </c>
      <c r="G7" s="12">
        <v>1</v>
      </c>
      <c r="H7" t="s">
        <v>28</v>
      </c>
      <c r="I7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8" spans="1:11" x14ac:dyDescent="0.3">
      <c r="A8" t="s">
        <v>30</v>
      </c>
      <c r="B8" t="s">
        <v>25</v>
      </c>
      <c r="C8" t="s">
        <v>21</v>
      </c>
      <c r="D8" t="s">
        <v>31</v>
      </c>
      <c r="E8" s="12">
        <v>0</v>
      </c>
      <c r="F8" s="2" t="s">
        <v>145</v>
      </c>
      <c r="G8" s="12">
        <v>2</v>
      </c>
      <c r="H8" t="s">
        <v>32</v>
      </c>
      <c r="I8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9" spans="1:11" x14ac:dyDescent="0.3">
      <c r="A9" t="s">
        <v>33</v>
      </c>
      <c r="B9" t="s">
        <v>36</v>
      </c>
      <c r="C9" t="s">
        <v>37</v>
      </c>
      <c r="D9" t="s">
        <v>34</v>
      </c>
      <c r="E9" s="12">
        <v>1</v>
      </c>
      <c r="F9" s="2" t="s">
        <v>145</v>
      </c>
      <c r="G9" s="12">
        <v>2</v>
      </c>
      <c r="H9" t="s">
        <v>35</v>
      </c>
      <c r="I9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10" spans="1:11" x14ac:dyDescent="0.3">
      <c r="A10" t="s">
        <v>38</v>
      </c>
      <c r="B10" t="s">
        <v>36</v>
      </c>
      <c r="C10" t="s">
        <v>41</v>
      </c>
      <c r="D10" t="s">
        <v>39</v>
      </c>
      <c r="E10" s="12">
        <v>4</v>
      </c>
      <c r="F10" s="2" t="s">
        <v>145</v>
      </c>
      <c r="G10" s="12">
        <v>0</v>
      </c>
      <c r="H10" t="s">
        <v>40</v>
      </c>
      <c r="I10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11" spans="1:11" x14ac:dyDescent="0.3">
      <c r="A11" t="s">
        <v>42</v>
      </c>
      <c r="B11" t="s">
        <v>36</v>
      </c>
      <c r="C11" t="s">
        <v>45</v>
      </c>
      <c r="D11" t="s">
        <v>43</v>
      </c>
      <c r="E11" s="12">
        <v>2</v>
      </c>
      <c r="F11" s="2" t="s">
        <v>145</v>
      </c>
      <c r="G11" s="12">
        <v>1</v>
      </c>
      <c r="H11" t="s">
        <v>44</v>
      </c>
      <c r="I11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12" spans="1:11" x14ac:dyDescent="0.3">
      <c r="A12" t="s">
        <v>46</v>
      </c>
      <c r="B12" t="s">
        <v>36</v>
      </c>
      <c r="C12" t="s">
        <v>49</v>
      </c>
      <c r="D12" t="s">
        <v>47</v>
      </c>
      <c r="E12" s="12">
        <v>1</v>
      </c>
      <c r="F12" s="2" t="s">
        <v>145</v>
      </c>
      <c r="G12" s="12">
        <v>1</v>
      </c>
      <c r="H12" t="s">
        <v>48</v>
      </c>
      <c r="I12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13" spans="1:11" x14ac:dyDescent="0.3">
      <c r="A13" t="s">
        <v>50</v>
      </c>
      <c r="B13" t="s">
        <v>36</v>
      </c>
      <c r="C13" t="s">
        <v>13</v>
      </c>
      <c r="D13" t="s">
        <v>51</v>
      </c>
      <c r="E13" s="12">
        <v>1</v>
      </c>
      <c r="F13" s="2" t="s">
        <v>145</v>
      </c>
      <c r="G13" s="12">
        <v>0</v>
      </c>
      <c r="H13" t="s">
        <v>52</v>
      </c>
      <c r="I13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14" spans="1:11" x14ac:dyDescent="0.3">
      <c r="A14" t="s">
        <v>53</v>
      </c>
      <c r="B14" t="s">
        <v>56</v>
      </c>
      <c r="C14" t="s">
        <v>57</v>
      </c>
      <c r="D14" t="s">
        <v>54</v>
      </c>
      <c r="E14" s="12">
        <v>3</v>
      </c>
      <c r="F14" s="2" t="s">
        <v>145</v>
      </c>
      <c r="G14" s="12">
        <v>0</v>
      </c>
      <c r="H14" t="s">
        <v>55</v>
      </c>
      <c r="I14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15" spans="1:11" x14ac:dyDescent="0.3">
      <c r="A15" t="s">
        <v>58</v>
      </c>
      <c r="B15" t="s">
        <v>56</v>
      </c>
      <c r="C15" t="s">
        <v>9</v>
      </c>
      <c r="D15" t="s">
        <v>59</v>
      </c>
      <c r="E15" s="12">
        <v>2</v>
      </c>
      <c r="F15" s="2" t="s">
        <v>145</v>
      </c>
      <c r="G15" s="12">
        <v>1</v>
      </c>
      <c r="H15" t="s">
        <v>60</v>
      </c>
      <c r="I15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16" spans="1:11" x14ac:dyDescent="0.3">
      <c r="A16" t="s">
        <v>61</v>
      </c>
      <c r="B16" t="s">
        <v>56</v>
      </c>
      <c r="C16" t="s">
        <v>29</v>
      </c>
      <c r="D16" t="s">
        <v>62</v>
      </c>
      <c r="E16" s="12">
        <v>0</v>
      </c>
      <c r="F16" s="2" t="s">
        <v>145</v>
      </c>
      <c r="G16" s="12">
        <v>2</v>
      </c>
      <c r="H16" t="s">
        <v>63</v>
      </c>
      <c r="I16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17" spans="1:9" x14ac:dyDescent="0.3">
      <c r="A17" t="s">
        <v>64</v>
      </c>
      <c r="B17" t="s">
        <v>56</v>
      </c>
      <c r="C17" t="s">
        <v>21</v>
      </c>
      <c r="D17" t="s">
        <v>65</v>
      </c>
      <c r="E17" s="12">
        <v>1</v>
      </c>
      <c r="F17" s="2" t="s">
        <v>145</v>
      </c>
      <c r="G17" s="12">
        <v>0</v>
      </c>
      <c r="H17" t="s">
        <v>66</v>
      </c>
      <c r="I17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18" spans="1:9" x14ac:dyDescent="0.3">
      <c r="A18" t="s">
        <v>67</v>
      </c>
      <c r="B18" t="s">
        <v>70</v>
      </c>
      <c r="C18" t="s">
        <v>9</v>
      </c>
      <c r="D18" t="s">
        <v>68</v>
      </c>
      <c r="E18" s="12">
        <v>2</v>
      </c>
      <c r="F18" s="2" t="s">
        <v>145</v>
      </c>
      <c r="G18" s="12">
        <v>1</v>
      </c>
      <c r="H18" t="s">
        <v>69</v>
      </c>
      <c r="I18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19" spans="1:9" x14ac:dyDescent="0.3">
      <c r="A19" t="s">
        <v>71</v>
      </c>
      <c r="B19" t="s">
        <v>70</v>
      </c>
      <c r="C19" t="s">
        <v>29</v>
      </c>
      <c r="D19" t="s">
        <v>72</v>
      </c>
      <c r="E19" s="12">
        <v>0</v>
      </c>
      <c r="F19" s="2" t="s">
        <v>145</v>
      </c>
      <c r="G19" s="12">
        <v>2</v>
      </c>
      <c r="H19" t="s">
        <v>73</v>
      </c>
      <c r="I19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20" spans="1:9" x14ac:dyDescent="0.3">
      <c r="A20" t="s">
        <v>74</v>
      </c>
      <c r="B20" t="s">
        <v>70</v>
      </c>
      <c r="C20" t="s">
        <v>21</v>
      </c>
      <c r="D20" t="s">
        <v>75</v>
      </c>
      <c r="E20" s="12">
        <v>3</v>
      </c>
      <c r="F20" s="2" t="s">
        <v>145</v>
      </c>
      <c r="G20" s="12">
        <v>0</v>
      </c>
      <c r="H20" t="s">
        <v>76</v>
      </c>
      <c r="I20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21" spans="1:9" x14ac:dyDescent="0.3">
      <c r="A21" t="s">
        <v>77</v>
      </c>
      <c r="B21" t="s">
        <v>80</v>
      </c>
      <c r="C21" t="s">
        <v>37</v>
      </c>
      <c r="D21" t="s">
        <v>78</v>
      </c>
      <c r="E21" s="12">
        <v>2</v>
      </c>
      <c r="F21" s="2" t="s">
        <v>145</v>
      </c>
      <c r="G21" s="12">
        <v>0</v>
      </c>
      <c r="H21" t="s">
        <v>79</v>
      </c>
      <c r="I21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22" spans="1:9" x14ac:dyDescent="0.3">
      <c r="A22" t="s">
        <v>81</v>
      </c>
      <c r="B22" t="s">
        <v>80</v>
      </c>
      <c r="C22" t="s">
        <v>41</v>
      </c>
      <c r="D22" t="s">
        <v>82</v>
      </c>
      <c r="E22" s="12">
        <v>3</v>
      </c>
      <c r="F22" s="2" t="s">
        <v>145</v>
      </c>
      <c r="G22" s="12">
        <v>0</v>
      </c>
      <c r="H22" t="s">
        <v>83</v>
      </c>
      <c r="I22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23" spans="1:9" x14ac:dyDescent="0.3">
      <c r="A23" t="s">
        <v>84</v>
      </c>
      <c r="B23" t="s">
        <v>80</v>
      </c>
      <c r="C23" t="s">
        <v>45</v>
      </c>
      <c r="D23" t="s">
        <v>85</v>
      </c>
      <c r="E23" s="12">
        <v>2</v>
      </c>
      <c r="F23" s="2" t="s">
        <v>145</v>
      </c>
      <c r="G23" s="12">
        <v>1</v>
      </c>
      <c r="H23" t="s">
        <v>86</v>
      </c>
      <c r="I23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24" spans="1:9" x14ac:dyDescent="0.3">
      <c r="A24" t="s">
        <v>87</v>
      </c>
      <c r="B24" t="s">
        <v>80</v>
      </c>
      <c r="C24" t="s">
        <v>49</v>
      </c>
      <c r="D24" t="s">
        <v>88</v>
      </c>
      <c r="E24" s="12">
        <v>1</v>
      </c>
      <c r="F24" s="2" t="s">
        <v>145</v>
      </c>
      <c r="G24" s="12">
        <v>1</v>
      </c>
      <c r="H24" t="s">
        <v>89</v>
      </c>
      <c r="I24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25" spans="1:9" x14ac:dyDescent="0.3">
      <c r="A25" t="s">
        <v>90</v>
      </c>
      <c r="B25" t="s">
        <v>80</v>
      </c>
      <c r="C25" t="s">
        <v>13</v>
      </c>
      <c r="D25" t="s">
        <v>91</v>
      </c>
      <c r="E25" s="12">
        <v>0</v>
      </c>
      <c r="F25" s="2" t="s">
        <v>145</v>
      </c>
      <c r="G25" s="12">
        <v>2</v>
      </c>
      <c r="H25" t="s">
        <v>92</v>
      </c>
      <c r="I25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26" spans="1:9" x14ac:dyDescent="0.3">
      <c r="A26" t="s">
        <v>93</v>
      </c>
      <c r="B26" t="s">
        <v>94</v>
      </c>
      <c r="C26" t="s">
        <v>57</v>
      </c>
      <c r="D26" t="s">
        <v>12</v>
      </c>
      <c r="E26" s="12">
        <v>2</v>
      </c>
      <c r="F26" s="2" t="s">
        <v>145</v>
      </c>
      <c r="G26" s="12">
        <v>0</v>
      </c>
      <c r="H26" t="s">
        <v>7</v>
      </c>
      <c r="I26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27" spans="1:9" x14ac:dyDescent="0.3">
      <c r="A27" t="s">
        <v>95</v>
      </c>
      <c r="B27" t="s">
        <v>94</v>
      </c>
      <c r="C27" t="s">
        <v>9</v>
      </c>
      <c r="D27" t="s">
        <v>24</v>
      </c>
      <c r="E27" s="12">
        <v>2</v>
      </c>
      <c r="F27" s="2" t="s">
        <v>145</v>
      </c>
      <c r="G27" s="12">
        <v>0</v>
      </c>
      <c r="H27" t="s">
        <v>16</v>
      </c>
      <c r="I27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28" spans="1:9" x14ac:dyDescent="0.3">
      <c r="A28" t="s">
        <v>96</v>
      </c>
      <c r="B28" t="s">
        <v>94</v>
      </c>
      <c r="C28" t="s">
        <v>29</v>
      </c>
      <c r="D28" t="s">
        <v>15</v>
      </c>
      <c r="E28" s="12">
        <v>1</v>
      </c>
      <c r="F28" s="2" t="s">
        <v>145</v>
      </c>
      <c r="G28" s="12">
        <v>1</v>
      </c>
      <c r="H28" t="s">
        <v>23</v>
      </c>
      <c r="I28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29" spans="1:9" x14ac:dyDescent="0.3">
      <c r="A29" t="s">
        <v>97</v>
      </c>
      <c r="B29" t="s">
        <v>94</v>
      </c>
      <c r="C29" t="s">
        <v>21</v>
      </c>
      <c r="D29" t="s">
        <v>6</v>
      </c>
      <c r="E29" s="12">
        <v>2</v>
      </c>
      <c r="F29" s="2" t="s">
        <v>145</v>
      </c>
      <c r="G29" s="12">
        <v>1</v>
      </c>
      <c r="H29" t="s">
        <v>11</v>
      </c>
      <c r="I29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30" spans="1:9" x14ac:dyDescent="0.3">
      <c r="A30" t="s">
        <v>98</v>
      </c>
      <c r="B30" t="s">
        <v>99</v>
      </c>
      <c r="C30" t="s">
        <v>9</v>
      </c>
      <c r="D30" t="s">
        <v>19</v>
      </c>
      <c r="E30" s="12">
        <v>2</v>
      </c>
      <c r="F30" s="2" t="s">
        <v>145</v>
      </c>
      <c r="G30" s="12">
        <v>1</v>
      </c>
      <c r="H30" t="s">
        <v>34</v>
      </c>
      <c r="I30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31" spans="1:9" x14ac:dyDescent="0.3">
      <c r="A31" t="s">
        <v>100</v>
      </c>
      <c r="B31" t="s">
        <v>99</v>
      </c>
      <c r="C31" t="s">
        <v>29</v>
      </c>
      <c r="D31" t="s">
        <v>32</v>
      </c>
      <c r="E31" s="12">
        <v>1</v>
      </c>
      <c r="F31" s="2" t="s">
        <v>145</v>
      </c>
      <c r="G31" s="12">
        <v>2</v>
      </c>
      <c r="H31" t="s">
        <v>28</v>
      </c>
      <c r="I31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32" spans="1:9" x14ac:dyDescent="0.3">
      <c r="A32" t="s">
        <v>101</v>
      </c>
      <c r="B32" t="s">
        <v>99</v>
      </c>
      <c r="C32" t="s">
        <v>102</v>
      </c>
      <c r="D32" t="s">
        <v>27</v>
      </c>
      <c r="E32" s="12">
        <v>4</v>
      </c>
      <c r="F32" s="2" t="s">
        <v>145</v>
      </c>
      <c r="G32" s="12">
        <v>0</v>
      </c>
      <c r="H32" t="s">
        <v>31</v>
      </c>
      <c r="I32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33" spans="1:9" x14ac:dyDescent="0.3">
      <c r="A33" t="s">
        <v>103</v>
      </c>
      <c r="B33" t="s">
        <v>104</v>
      </c>
      <c r="C33" t="s">
        <v>105</v>
      </c>
      <c r="D33" t="s">
        <v>35</v>
      </c>
      <c r="E33" s="12">
        <v>2</v>
      </c>
      <c r="F33" s="2" t="s">
        <v>145</v>
      </c>
      <c r="G33" s="12">
        <v>1</v>
      </c>
      <c r="H33" t="s">
        <v>20</v>
      </c>
      <c r="I33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34" spans="1:9" x14ac:dyDescent="0.3">
      <c r="A34" t="s">
        <v>106</v>
      </c>
      <c r="B34" t="s">
        <v>104</v>
      </c>
      <c r="C34" t="s">
        <v>41</v>
      </c>
      <c r="D34" t="s">
        <v>43</v>
      </c>
      <c r="E34" s="12">
        <v>2</v>
      </c>
      <c r="F34" s="2" t="s">
        <v>145</v>
      </c>
      <c r="G34" s="12">
        <v>1</v>
      </c>
      <c r="H34" t="s">
        <v>51</v>
      </c>
      <c r="I34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35" spans="1:9" x14ac:dyDescent="0.3">
      <c r="A35" t="s">
        <v>107</v>
      </c>
      <c r="B35" t="s">
        <v>104</v>
      </c>
      <c r="C35" t="s">
        <v>45</v>
      </c>
      <c r="D35" t="s">
        <v>39</v>
      </c>
      <c r="E35" s="12">
        <v>3</v>
      </c>
      <c r="F35" s="2" t="s">
        <v>145</v>
      </c>
      <c r="G35" s="12">
        <v>1</v>
      </c>
      <c r="H35" t="s">
        <v>47</v>
      </c>
      <c r="I35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36" spans="1:9" x14ac:dyDescent="0.3">
      <c r="A36" t="s">
        <v>108</v>
      </c>
      <c r="B36" t="s">
        <v>104</v>
      </c>
      <c r="C36" t="s">
        <v>109</v>
      </c>
      <c r="D36" t="s">
        <v>48</v>
      </c>
      <c r="E36" s="12">
        <v>2</v>
      </c>
      <c r="F36" s="2" t="s">
        <v>145</v>
      </c>
      <c r="G36" s="12">
        <v>0</v>
      </c>
      <c r="H36" t="s">
        <v>40</v>
      </c>
      <c r="I36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37" spans="1:9" x14ac:dyDescent="0.3">
      <c r="A37" t="s">
        <v>110</v>
      </c>
      <c r="B37" t="s">
        <v>111</v>
      </c>
      <c r="C37" t="s">
        <v>37</v>
      </c>
      <c r="D37" t="s">
        <v>52</v>
      </c>
      <c r="E37" s="12">
        <v>1</v>
      </c>
      <c r="F37" s="2" t="s">
        <v>145</v>
      </c>
      <c r="G37" s="12">
        <v>2</v>
      </c>
      <c r="H37" t="s">
        <v>44</v>
      </c>
      <c r="I37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38" spans="1:9" x14ac:dyDescent="0.3">
      <c r="A38" t="s">
        <v>112</v>
      </c>
      <c r="B38" t="s">
        <v>111</v>
      </c>
      <c r="C38" t="s">
        <v>57</v>
      </c>
      <c r="D38" t="s">
        <v>54</v>
      </c>
      <c r="E38" s="12">
        <v>3</v>
      </c>
      <c r="F38" s="2" t="s">
        <v>145</v>
      </c>
      <c r="G38" s="12">
        <v>0</v>
      </c>
      <c r="H38" t="s">
        <v>62</v>
      </c>
      <c r="I38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39" spans="1:9" x14ac:dyDescent="0.3">
      <c r="A39" t="s">
        <v>113</v>
      </c>
      <c r="B39" t="s">
        <v>111</v>
      </c>
      <c r="C39" t="s">
        <v>9</v>
      </c>
      <c r="D39" t="s">
        <v>59</v>
      </c>
      <c r="E39" s="12">
        <v>2</v>
      </c>
      <c r="F39" s="2" t="s">
        <v>145</v>
      </c>
      <c r="G39" s="12">
        <v>0</v>
      </c>
      <c r="H39" t="s">
        <v>65</v>
      </c>
      <c r="I39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40" spans="1:9" x14ac:dyDescent="0.3">
      <c r="A40" t="s">
        <v>114</v>
      </c>
      <c r="B40" t="s">
        <v>111</v>
      </c>
      <c r="C40" t="s">
        <v>29</v>
      </c>
      <c r="D40" t="s">
        <v>63</v>
      </c>
      <c r="E40" s="12">
        <v>2</v>
      </c>
      <c r="F40" s="2" t="s">
        <v>145</v>
      </c>
      <c r="G40" s="12">
        <v>1</v>
      </c>
      <c r="H40" t="s">
        <v>55</v>
      </c>
      <c r="I40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41" spans="1:9" x14ac:dyDescent="0.3">
      <c r="A41" t="s">
        <v>115</v>
      </c>
      <c r="B41" t="s">
        <v>111</v>
      </c>
      <c r="C41" t="s">
        <v>21</v>
      </c>
      <c r="D41" t="s">
        <v>66</v>
      </c>
      <c r="E41" s="12">
        <v>1</v>
      </c>
      <c r="F41" s="2" t="s">
        <v>145</v>
      </c>
      <c r="G41" s="12">
        <v>1</v>
      </c>
      <c r="H41" t="s">
        <v>60</v>
      </c>
      <c r="I41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42" spans="1:9" x14ac:dyDescent="0.3">
      <c r="A42" t="s">
        <v>116</v>
      </c>
      <c r="B42" t="s">
        <v>117</v>
      </c>
      <c r="C42" t="s">
        <v>41</v>
      </c>
      <c r="D42" t="s">
        <v>75</v>
      </c>
      <c r="E42" s="12">
        <v>3</v>
      </c>
      <c r="F42" s="2" t="s">
        <v>145</v>
      </c>
      <c r="G42" s="12">
        <v>1</v>
      </c>
      <c r="H42" t="s">
        <v>78</v>
      </c>
      <c r="I42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43" spans="1:9" x14ac:dyDescent="0.3">
      <c r="A43" t="s">
        <v>118</v>
      </c>
      <c r="B43" t="s">
        <v>117</v>
      </c>
      <c r="C43" t="s">
        <v>119</v>
      </c>
      <c r="D43" t="s">
        <v>68</v>
      </c>
      <c r="E43" s="12">
        <v>3</v>
      </c>
      <c r="F43" s="2" t="s">
        <v>145</v>
      </c>
      <c r="G43" s="12">
        <v>0</v>
      </c>
      <c r="H43" t="s">
        <v>72</v>
      </c>
      <c r="I43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44" spans="1:9" x14ac:dyDescent="0.3">
      <c r="A44" t="s">
        <v>120</v>
      </c>
      <c r="B44" t="s">
        <v>117</v>
      </c>
      <c r="C44" t="s">
        <v>109</v>
      </c>
      <c r="D44" t="s">
        <v>73</v>
      </c>
      <c r="E44" s="12">
        <v>1</v>
      </c>
      <c r="F44" s="2" t="s">
        <v>145</v>
      </c>
      <c r="G44" s="12">
        <v>1</v>
      </c>
      <c r="H44" t="s">
        <v>69</v>
      </c>
      <c r="I44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45" spans="1:9" x14ac:dyDescent="0.3">
      <c r="A45" t="s">
        <v>121</v>
      </c>
      <c r="B45" t="s">
        <v>122</v>
      </c>
      <c r="C45" t="s">
        <v>105</v>
      </c>
      <c r="D45" t="s">
        <v>79</v>
      </c>
      <c r="E45" s="12">
        <v>0</v>
      </c>
      <c r="F45" s="2" t="s">
        <v>145</v>
      </c>
      <c r="G45" s="12">
        <v>1</v>
      </c>
      <c r="H45" t="s">
        <v>76</v>
      </c>
      <c r="I45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46" spans="1:9" x14ac:dyDescent="0.3">
      <c r="A46" t="s">
        <v>123</v>
      </c>
      <c r="B46" t="s">
        <v>122</v>
      </c>
      <c r="C46" t="s">
        <v>41</v>
      </c>
      <c r="D46" t="s">
        <v>82</v>
      </c>
      <c r="E46" s="12">
        <v>3</v>
      </c>
      <c r="F46" s="2" t="s">
        <v>145</v>
      </c>
      <c r="G46" s="12">
        <v>0</v>
      </c>
      <c r="H46" t="s">
        <v>91</v>
      </c>
      <c r="I46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47" spans="1:9" x14ac:dyDescent="0.3">
      <c r="A47" t="s">
        <v>124</v>
      </c>
      <c r="B47" t="s">
        <v>122</v>
      </c>
      <c r="C47" t="s">
        <v>45</v>
      </c>
      <c r="D47" t="s">
        <v>85</v>
      </c>
      <c r="E47" s="12">
        <v>3</v>
      </c>
      <c r="F47" s="2" t="s">
        <v>145</v>
      </c>
      <c r="G47" s="12">
        <v>1</v>
      </c>
      <c r="H47" t="s">
        <v>88</v>
      </c>
      <c r="I47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48" spans="1:9" x14ac:dyDescent="0.3">
      <c r="A48" t="s">
        <v>125</v>
      </c>
      <c r="B48" t="s">
        <v>122</v>
      </c>
      <c r="C48" t="s">
        <v>49</v>
      </c>
      <c r="D48" t="s">
        <v>89</v>
      </c>
      <c r="E48" s="12">
        <v>0</v>
      </c>
      <c r="F48" s="2" t="s">
        <v>145</v>
      </c>
      <c r="G48" s="12">
        <v>2</v>
      </c>
      <c r="H48" t="s">
        <v>86</v>
      </c>
      <c r="I48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49" spans="1:9" x14ac:dyDescent="0.3">
      <c r="A49" t="s">
        <v>126</v>
      </c>
      <c r="B49" t="s">
        <v>122</v>
      </c>
      <c r="C49" t="s">
        <v>13</v>
      </c>
      <c r="D49" t="s">
        <v>92</v>
      </c>
      <c r="E49" s="12">
        <v>2</v>
      </c>
      <c r="F49" s="2" t="s">
        <v>145</v>
      </c>
      <c r="G49" s="12">
        <v>0</v>
      </c>
      <c r="H49" t="s">
        <v>83</v>
      </c>
      <c r="I49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50" spans="1:9" x14ac:dyDescent="0.3">
      <c r="A50" t="s">
        <v>127</v>
      </c>
      <c r="B50" t="s">
        <v>128</v>
      </c>
      <c r="C50" t="s">
        <v>9</v>
      </c>
      <c r="D50" t="s">
        <v>16</v>
      </c>
      <c r="E50" s="12">
        <v>1</v>
      </c>
      <c r="F50" s="2" t="s">
        <v>145</v>
      </c>
      <c r="G50" s="12">
        <v>1</v>
      </c>
      <c r="H50" t="s">
        <v>23</v>
      </c>
      <c r="I50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51" spans="1:9" x14ac:dyDescent="0.3">
      <c r="A51" t="s">
        <v>127</v>
      </c>
      <c r="B51" t="s">
        <v>128</v>
      </c>
      <c r="C51" t="s">
        <v>9</v>
      </c>
      <c r="D51" t="s">
        <v>24</v>
      </c>
      <c r="E51" s="12">
        <v>2</v>
      </c>
      <c r="F51" s="2" t="s">
        <v>145</v>
      </c>
      <c r="G51" s="12">
        <v>1</v>
      </c>
      <c r="H51" t="s">
        <v>15</v>
      </c>
      <c r="I51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52" spans="1:9" x14ac:dyDescent="0.3">
      <c r="A52" t="s">
        <v>129</v>
      </c>
      <c r="B52" t="s">
        <v>128</v>
      </c>
      <c r="C52" t="s">
        <v>29</v>
      </c>
      <c r="D52" t="s">
        <v>32</v>
      </c>
      <c r="E52" s="12">
        <v>0</v>
      </c>
      <c r="F52" s="2" t="s">
        <v>145</v>
      </c>
      <c r="G52" s="12">
        <v>2</v>
      </c>
      <c r="H52" t="s">
        <v>27</v>
      </c>
      <c r="I52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53" spans="1:9" x14ac:dyDescent="0.3">
      <c r="A53" t="s">
        <v>129</v>
      </c>
      <c r="B53" t="s">
        <v>128</v>
      </c>
      <c r="C53" t="s">
        <v>29</v>
      </c>
      <c r="D53" t="s">
        <v>28</v>
      </c>
      <c r="E53" s="12">
        <v>3</v>
      </c>
      <c r="F53" s="2" t="s">
        <v>145</v>
      </c>
      <c r="G53" s="12">
        <v>0</v>
      </c>
      <c r="H53" t="s">
        <v>31</v>
      </c>
      <c r="I53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54" spans="1:9" x14ac:dyDescent="0.3">
      <c r="A54" t="s">
        <v>130</v>
      </c>
      <c r="B54" t="s">
        <v>128</v>
      </c>
      <c r="C54" t="s">
        <v>21</v>
      </c>
      <c r="D54" t="s">
        <v>7</v>
      </c>
      <c r="E54" s="12">
        <v>1</v>
      </c>
      <c r="F54" s="2" t="s">
        <v>145</v>
      </c>
      <c r="G54" s="12">
        <v>1</v>
      </c>
      <c r="H54" t="s">
        <v>11</v>
      </c>
      <c r="I54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55" spans="1:9" x14ac:dyDescent="0.3">
      <c r="A55" t="s">
        <v>130</v>
      </c>
      <c r="B55" t="s">
        <v>128</v>
      </c>
      <c r="C55" t="s">
        <v>21</v>
      </c>
      <c r="D55" t="s">
        <v>12</v>
      </c>
      <c r="E55" s="12">
        <v>1</v>
      </c>
      <c r="F55" s="2" t="s">
        <v>145</v>
      </c>
      <c r="G55" s="12">
        <v>2</v>
      </c>
      <c r="H55" t="s">
        <v>6</v>
      </c>
      <c r="I55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56" spans="1:9" x14ac:dyDescent="0.3">
      <c r="A56" t="s">
        <v>131</v>
      </c>
      <c r="B56" t="s">
        <v>132</v>
      </c>
      <c r="C56" t="s">
        <v>45</v>
      </c>
      <c r="D56" t="s">
        <v>40</v>
      </c>
      <c r="E56" s="12">
        <v>0</v>
      </c>
      <c r="F56" s="2" t="s">
        <v>145</v>
      </c>
      <c r="G56" s="12">
        <v>2</v>
      </c>
      <c r="H56" t="s">
        <v>47</v>
      </c>
      <c r="I56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57" spans="1:9" x14ac:dyDescent="0.3">
      <c r="A57" t="s">
        <v>131</v>
      </c>
      <c r="B57" t="s">
        <v>132</v>
      </c>
      <c r="C57" t="s">
        <v>45</v>
      </c>
      <c r="D57" t="s">
        <v>48</v>
      </c>
      <c r="E57" s="12">
        <v>1</v>
      </c>
      <c r="F57" s="2" t="s">
        <v>145</v>
      </c>
      <c r="G57" s="12">
        <v>3</v>
      </c>
      <c r="H57" t="s">
        <v>39</v>
      </c>
      <c r="I57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58" spans="1:9" x14ac:dyDescent="0.3">
      <c r="A58" t="s">
        <v>133</v>
      </c>
      <c r="B58" t="s">
        <v>132</v>
      </c>
      <c r="C58" t="s">
        <v>49</v>
      </c>
      <c r="D58" t="s">
        <v>44</v>
      </c>
      <c r="E58" s="12">
        <v>1</v>
      </c>
      <c r="F58" s="2" t="s">
        <v>145</v>
      </c>
      <c r="G58" s="12">
        <v>1</v>
      </c>
      <c r="H58" t="s">
        <v>51</v>
      </c>
      <c r="I58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59" spans="1:9" x14ac:dyDescent="0.3">
      <c r="A59" t="s">
        <v>133</v>
      </c>
      <c r="B59" t="s">
        <v>132</v>
      </c>
      <c r="C59" t="s">
        <v>49</v>
      </c>
      <c r="D59" t="s">
        <v>52</v>
      </c>
      <c r="E59" s="12">
        <v>0</v>
      </c>
      <c r="F59" s="2" t="s">
        <v>145</v>
      </c>
      <c r="G59" s="12">
        <v>2</v>
      </c>
      <c r="H59" t="s">
        <v>43</v>
      </c>
      <c r="I59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60" spans="1:9" x14ac:dyDescent="0.3">
      <c r="A60" t="s">
        <v>134</v>
      </c>
      <c r="B60" t="s">
        <v>132</v>
      </c>
      <c r="C60" t="s">
        <v>13</v>
      </c>
      <c r="D60" t="s">
        <v>20</v>
      </c>
      <c r="E60" s="12">
        <v>1</v>
      </c>
      <c r="F60" s="2" t="s">
        <v>145</v>
      </c>
      <c r="G60" s="12">
        <v>1</v>
      </c>
      <c r="H60" t="s">
        <v>34</v>
      </c>
      <c r="I60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61" spans="1:9" x14ac:dyDescent="0.3">
      <c r="A61" t="s">
        <v>134</v>
      </c>
      <c r="B61" t="s">
        <v>132</v>
      </c>
      <c r="C61" t="s">
        <v>13</v>
      </c>
      <c r="D61" t="s">
        <v>35</v>
      </c>
      <c r="E61" s="12">
        <v>1</v>
      </c>
      <c r="F61" s="2" t="s">
        <v>145</v>
      </c>
      <c r="G61" s="12">
        <v>2</v>
      </c>
      <c r="H61" t="s">
        <v>19</v>
      </c>
      <c r="I61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62" spans="1:9" x14ac:dyDescent="0.3">
      <c r="A62" t="s">
        <v>135</v>
      </c>
      <c r="B62" t="s">
        <v>136</v>
      </c>
      <c r="C62" t="s">
        <v>9</v>
      </c>
      <c r="D62" t="s">
        <v>73</v>
      </c>
      <c r="E62" s="12">
        <v>1</v>
      </c>
      <c r="F62" s="2" t="s">
        <v>145</v>
      </c>
      <c r="G62" s="12">
        <v>2</v>
      </c>
      <c r="H62" t="s">
        <v>68</v>
      </c>
      <c r="I62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63" spans="1:9" x14ac:dyDescent="0.3">
      <c r="A63" t="s">
        <v>135</v>
      </c>
      <c r="B63" t="s">
        <v>136</v>
      </c>
      <c r="C63" t="s">
        <v>9</v>
      </c>
      <c r="D63" t="s">
        <v>69</v>
      </c>
      <c r="E63" s="12">
        <v>2</v>
      </c>
      <c r="F63" s="2" t="s">
        <v>145</v>
      </c>
      <c r="G63" s="12">
        <v>0</v>
      </c>
      <c r="H63" t="s">
        <v>72</v>
      </c>
      <c r="I63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64" spans="1:9" x14ac:dyDescent="0.3">
      <c r="A64" t="s">
        <v>137</v>
      </c>
      <c r="B64" t="s">
        <v>136</v>
      </c>
      <c r="C64" t="s">
        <v>109</v>
      </c>
      <c r="D64" t="s">
        <v>55</v>
      </c>
      <c r="E64" s="12">
        <v>1</v>
      </c>
      <c r="F64" s="2" t="s">
        <v>145</v>
      </c>
      <c r="G64" s="12">
        <v>1</v>
      </c>
      <c r="H64" t="s">
        <v>62</v>
      </c>
      <c r="I64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65" spans="1:9" x14ac:dyDescent="0.3">
      <c r="A65" t="s">
        <v>137</v>
      </c>
      <c r="B65" t="s">
        <v>136</v>
      </c>
      <c r="C65" t="s">
        <v>109</v>
      </c>
      <c r="D65" t="s">
        <v>63</v>
      </c>
      <c r="E65" s="12">
        <v>1</v>
      </c>
      <c r="F65" s="2" t="s">
        <v>145</v>
      </c>
      <c r="G65" s="12">
        <v>2</v>
      </c>
      <c r="H65" t="s">
        <v>54</v>
      </c>
      <c r="I65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66" spans="1:9" x14ac:dyDescent="0.3">
      <c r="A66" t="s">
        <v>138</v>
      </c>
      <c r="B66" t="s">
        <v>139</v>
      </c>
      <c r="C66" t="s">
        <v>105</v>
      </c>
      <c r="D66" t="s">
        <v>60</v>
      </c>
      <c r="E66" s="12">
        <v>1</v>
      </c>
      <c r="F66" s="2" t="s">
        <v>145</v>
      </c>
      <c r="G66" s="12">
        <v>1</v>
      </c>
      <c r="H66" t="s">
        <v>65</v>
      </c>
      <c r="I66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67" spans="1:9" x14ac:dyDescent="0.3">
      <c r="A67" t="s">
        <v>138</v>
      </c>
      <c r="B67" t="s">
        <v>139</v>
      </c>
      <c r="C67" t="s">
        <v>105</v>
      </c>
      <c r="D67" t="s">
        <v>66</v>
      </c>
      <c r="E67" s="12">
        <v>0</v>
      </c>
      <c r="F67" s="2" t="s">
        <v>145</v>
      </c>
      <c r="G67" s="12">
        <v>3</v>
      </c>
      <c r="H67" t="s">
        <v>59</v>
      </c>
      <c r="I67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68" spans="1:9" x14ac:dyDescent="0.3">
      <c r="A68" t="s">
        <v>140</v>
      </c>
      <c r="B68" t="s">
        <v>139</v>
      </c>
      <c r="C68" t="s">
        <v>119</v>
      </c>
      <c r="D68" t="s">
        <v>86</v>
      </c>
      <c r="E68" s="12">
        <v>2</v>
      </c>
      <c r="F68" s="2" t="s">
        <v>145</v>
      </c>
      <c r="G68" s="12">
        <v>1</v>
      </c>
      <c r="H68" t="s">
        <v>88</v>
      </c>
      <c r="I68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69" spans="1:9" x14ac:dyDescent="0.3">
      <c r="A69" t="s">
        <v>140</v>
      </c>
      <c r="B69" t="s">
        <v>139</v>
      </c>
      <c r="C69" t="s">
        <v>119</v>
      </c>
      <c r="D69" t="s">
        <v>89</v>
      </c>
      <c r="E69" s="12">
        <v>0</v>
      </c>
      <c r="F69" s="2" t="s">
        <v>145</v>
      </c>
      <c r="G69" s="12">
        <v>3</v>
      </c>
      <c r="H69" t="s">
        <v>85</v>
      </c>
      <c r="I69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70" spans="1:9" x14ac:dyDescent="0.3">
      <c r="A70" t="s">
        <v>141</v>
      </c>
      <c r="B70" t="s">
        <v>139</v>
      </c>
      <c r="C70" t="s">
        <v>142</v>
      </c>
      <c r="D70" t="s">
        <v>92</v>
      </c>
      <c r="E70" s="12">
        <v>1</v>
      </c>
      <c r="F70" s="2" t="s">
        <v>145</v>
      </c>
      <c r="G70" s="12">
        <v>2</v>
      </c>
      <c r="H70" t="s">
        <v>82</v>
      </c>
      <c r="I70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71" spans="1:9" x14ac:dyDescent="0.3">
      <c r="A71" t="s">
        <v>141</v>
      </c>
      <c r="B71" t="s">
        <v>139</v>
      </c>
      <c r="C71" t="s">
        <v>142</v>
      </c>
      <c r="D71" t="s">
        <v>83</v>
      </c>
      <c r="E71" s="12">
        <v>1</v>
      </c>
      <c r="F71" s="2" t="s">
        <v>145</v>
      </c>
      <c r="G71" s="12">
        <v>0</v>
      </c>
      <c r="H71" t="s">
        <v>91</v>
      </c>
      <c r="I71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72" spans="1:9" x14ac:dyDescent="0.3">
      <c r="A72" t="s">
        <v>143</v>
      </c>
      <c r="B72" t="s">
        <v>139</v>
      </c>
      <c r="C72" t="s">
        <v>13</v>
      </c>
      <c r="D72" t="s">
        <v>76</v>
      </c>
      <c r="E72" s="12">
        <v>1</v>
      </c>
      <c r="F72" s="2" t="s">
        <v>145</v>
      </c>
      <c r="G72" s="12">
        <v>2</v>
      </c>
      <c r="H72" t="s">
        <v>78</v>
      </c>
      <c r="I72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  <row r="73" spans="1:9" x14ac:dyDescent="0.3">
      <c r="A73" t="s">
        <v>143</v>
      </c>
      <c r="B73" t="s">
        <v>139</v>
      </c>
      <c r="C73" t="s">
        <v>13</v>
      </c>
      <c r="D73" t="s">
        <v>79</v>
      </c>
      <c r="E73" s="12">
        <v>0</v>
      </c>
      <c r="F73" s="2" t="s">
        <v>145</v>
      </c>
      <c r="G73" s="12">
        <v>3</v>
      </c>
      <c r="H73" t="s">
        <v>75</v>
      </c>
      <c r="I73" s="2">
        <f>IF(OR(Tabela_3350567[[#This Row],[Placar Mandante]]="",Tabela_3350567[[#This Row],[Placar Visitante]]="",Tabela_3[[#This Row],[Placar Mandante]]="",Tabela_3[[#This Row],[Placar Visitante]]=""),0,
IF(AND(Tabela_3350567[[#This Row],[Placar Mandante]]=Tabela_3[[#This Row],[Placar Mandante]],Tabela_3350567[[#This Row],[Placar Visitante]]=Tabela_3[[#This Row],[Placar Visitante]]),3,
IF(SIGN(Tabela_3350567[[#This Row],[Placar Mandante]]-Tabela_3350567[[#This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22DA-6E84-4318-9E79-108DC3AB039B}">
  <dimension ref="A1:K73"/>
  <sheetViews>
    <sheetView topLeftCell="B1" zoomScaleNormal="100" workbookViewId="0">
      <selection activeCell="H75" sqref="H75"/>
    </sheetView>
  </sheetViews>
  <sheetFormatPr defaultRowHeight="14.4" x14ac:dyDescent="0.3"/>
  <cols>
    <col min="1" max="1" width="11.77734375" style="11" hidden="1" customWidth="1"/>
    <col min="2" max="2" width="10.33203125" style="11" bestFit="1" customWidth="1"/>
    <col min="3" max="3" width="9.44140625" style="11" bestFit="1" customWidth="1"/>
    <col min="4" max="4" width="18.21875" style="11" bestFit="1" customWidth="1"/>
    <col min="5" max="5" width="18.21875" style="11" customWidth="1"/>
    <col min="6" max="6" width="4.109375" style="12" bestFit="1" customWidth="1"/>
    <col min="7" max="7" width="18.21875" style="11" customWidth="1"/>
    <col min="8" max="8" width="18.21875" style="11" bestFit="1" customWidth="1"/>
    <col min="9" max="9" width="8.88671875" style="11"/>
    <col min="10" max="10" width="12.21875" style="11" customWidth="1"/>
    <col min="11" max="11" width="10.2187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0</v>
      </c>
      <c r="H2" t="s">
        <v>7</v>
      </c>
      <c r="I2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  <c r="J2" s="13"/>
      <c r="K2" s="3">
        <f>SUM(Tabela_33463[Pontuação])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1</v>
      </c>
      <c r="H3" t="s">
        <v>12</v>
      </c>
      <c r="I3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2</v>
      </c>
      <c r="F4" s="12" t="s">
        <v>145</v>
      </c>
      <c r="G4" s="12">
        <v>1</v>
      </c>
      <c r="H4" t="s">
        <v>16</v>
      </c>
      <c r="I4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0</v>
      </c>
      <c r="F5" s="12" t="s">
        <v>145</v>
      </c>
      <c r="G5" s="12">
        <v>1</v>
      </c>
      <c r="H5" t="s">
        <v>20</v>
      </c>
      <c r="I5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1</v>
      </c>
      <c r="H7" t="s">
        <v>28</v>
      </c>
      <c r="I7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2</v>
      </c>
      <c r="H8" t="s">
        <v>32</v>
      </c>
      <c r="I8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2</v>
      </c>
      <c r="H9" t="s">
        <v>35</v>
      </c>
      <c r="I9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4</v>
      </c>
      <c r="F10" s="12" t="s">
        <v>145</v>
      </c>
      <c r="G10" s="12">
        <v>0</v>
      </c>
      <c r="H10" t="s">
        <v>40</v>
      </c>
      <c r="I10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1</v>
      </c>
      <c r="H11" t="s">
        <v>44</v>
      </c>
      <c r="I11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1</v>
      </c>
      <c r="H12" t="s">
        <v>48</v>
      </c>
      <c r="I12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2</v>
      </c>
      <c r="F13" s="12" t="s">
        <v>145</v>
      </c>
      <c r="G13" s="12">
        <v>0</v>
      </c>
      <c r="H13" t="s">
        <v>52</v>
      </c>
      <c r="I13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4</v>
      </c>
      <c r="F14" s="12" t="s">
        <v>145</v>
      </c>
      <c r="G14" s="12">
        <v>0</v>
      </c>
      <c r="H14" t="s">
        <v>55</v>
      </c>
      <c r="I14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0</v>
      </c>
      <c r="H15" t="s">
        <v>60</v>
      </c>
      <c r="I15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2</v>
      </c>
      <c r="F17" s="12" t="s">
        <v>145</v>
      </c>
      <c r="G17" s="12">
        <v>0</v>
      </c>
      <c r="H17" t="s">
        <v>66</v>
      </c>
      <c r="I17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2</v>
      </c>
      <c r="F18" s="12" t="s">
        <v>145</v>
      </c>
      <c r="G18" s="12">
        <v>0</v>
      </c>
      <c r="H18" t="s">
        <v>69</v>
      </c>
      <c r="I18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2</v>
      </c>
      <c r="H19" t="s">
        <v>73</v>
      </c>
      <c r="I19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0</v>
      </c>
      <c r="H20" t="s">
        <v>76</v>
      </c>
      <c r="I20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0</v>
      </c>
      <c r="H21" t="s">
        <v>79</v>
      </c>
      <c r="I21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0</v>
      </c>
      <c r="H22" t="s">
        <v>83</v>
      </c>
      <c r="I22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1</v>
      </c>
      <c r="H23" t="s">
        <v>86</v>
      </c>
      <c r="I23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1</v>
      </c>
      <c r="F24" s="12" t="s">
        <v>145</v>
      </c>
      <c r="G24" s="12">
        <v>1</v>
      </c>
      <c r="H24" t="s">
        <v>89</v>
      </c>
      <c r="I24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3</v>
      </c>
      <c r="H25" t="s">
        <v>92</v>
      </c>
      <c r="I25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0</v>
      </c>
      <c r="H26" t="s">
        <v>7</v>
      </c>
      <c r="I26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0</v>
      </c>
      <c r="H27" t="s">
        <v>16</v>
      </c>
      <c r="I27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2</v>
      </c>
      <c r="F28" s="12" t="s">
        <v>145</v>
      </c>
      <c r="G28" s="12">
        <v>0</v>
      </c>
      <c r="H28" t="s">
        <v>23</v>
      </c>
      <c r="I28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2</v>
      </c>
      <c r="F29" s="12" t="s">
        <v>145</v>
      </c>
      <c r="G29" s="12">
        <v>1</v>
      </c>
      <c r="H29" t="s">
        <v>11</v>
      </c>
      <c r="I29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1</v>
      </c>
      <c r="H30" t="s">
        <v>34</v>
      </c>
      <c r="I30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0</v>
      </c>
      <c r="F31" s="12" t="s">
        <v>145</v>
      </c>
      <c r="G31" s="12">
        <v>2</v>
      </c>
      <c r="H31" t="s">
        <v>28</v>
      </c>
      <c r="I31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0</v>
      </c>
      <c r="H32" t="s">
        <v>31</v>
      </c>
      <c r="I32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1</v>
      </c>
      <c r="H33" t="s">
        <v>20</v>
      </c>
      <c r="I33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0</v>
      </c>
      <c r="H34" t="s">
        <v>51</v>
      </c>
      <c r="I34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2</v>
      </c>
      <c r="F35" s="12" t="s">
        <v>145</v>
      </c>
      <c r="G35" s="12">
        <v>1</v>
      </c>
      <c r="H35" t="s">
        <v>47</v>
      </c>
      <c r="I35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1</v>
      </c>
      <c r="F37" s="12" t="s">
        <v>145</v>
      </c>
      <c r="G37" s="12">
        <v>2</v>
      </c>
      <c r="H37" t="s">
        <v>44</v>
      </c>
      <c r="I37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3</v>
      </c>
      <c r="F38" s="12" t="s">
        <v>145</v>
      </c>
      <c r="G38" s="12">
        <v>0</v>
      </c>
      <c r="H38" t="s">
        <v>62</v>
      </c>
      <c r="I38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1</v>
      </c>
      <c r="H39" t="s">
        <v>65</v>
      </c>
      <c r="I39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0</v>
      </c>
      <c r="H40" t="s">
        <v>55</v>
      </c>
      <c r="I40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1</v>
      </c>
      <c r="F41" s="12" t="s">
        <v>145</v>
      </c>
      <c r="G41" s="12">
        <v>1</v>
      </c>
      <c r="H41" t="s">
        <v>60</v>
      </c>
      <c r="I41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0</v>
      </c>
      <c r="H42" t="s">
        <v>78</v>
      </c>
      <c r="I42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1</v>
      </c>
      <c r="H44" t="s">
        <v>69</v>
      </c>
      <c r="I44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1</v>
      </c>
      <c r="F45" s="12" t="s">
        <v>145</v>
      </c>
      <c r="G45" s="12">
        <v>1</v>
      </c>
      <c r="H45" t="s">
        <v>76</v>
      </c>
      <c r="I45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3</v>
      </c>
      <c r="F46" s="12" t="s">
        <v>145</v>
      </c>
      <c r="G46" s="12">
        <v>0</v>
      </c>
      <c r="H46" t="s">
        <v>91</v>
      </c>
      <c r="I46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3</v>
      </c>
      <c r="F47" s="12" t="s">
        <v>145</v>
      </c>
      <c r="G47" s="12">
        <v>0</v>
      </c>
      <c r="H47" t="s">
        <v>88</v>
      </c>
      <c r="I47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0</v>
      </c>
      <c r="H49" t="s">
        <v>83</v>
      </c>
      <c r="I49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0</v>
      </c>
      <c r="H50" t="s">
        <v>23</v>
      </c>
      <c r="I50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1</v>
      </c>
      <c r="H51" t="s">
        <v>15</v>
      </c>
      <c r="I51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2</v>
      </c>
      <c r="H52" t="s">
        <v>27</v>
      </c>
      <c r="I52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3</v>
      </c>
      <c r="F53" s="12" t="s">
        <v>145</v>
      </c>
      <c r="G53" s="12">
        <v>0</v>
      </c>
      <c r="H53" t="s">
        <v>31</v>
      </c>
      <c r="I53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0</v>
      </c>
      <c r="F54" s="12" t="s">
        <v>145</v>
      </c>
      <c r="G54" s="12">
        <v>2</v>
      </c>
      <c r="H54" t="s">
        <v>11</v>
      </c>
      <c r="I54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2</v>
      </c>
      <c r="H55" t="s">
        <v>6</v>
      </c>
      <c r="I55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2</v>
      </c>
      <c r="H56" t="s">
        <v>47</v>
      </c>
      <c r="I56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0</v>
      </c>
      <c r="F57" s="12" t="s">
        <v>145</v>
      </c>
      <c r="G57" s="12">
        <v>3</v>
      </c>
      <c r="H57" t="s">
        <v>39</v>
      </c>
      <c r="I57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2</v>
      </c>
      <c r="H58" t="s">
        <v>51</v>
      </c>
      <c r="I58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2</v>
      </c>
      <c r="H59" t="s">
        <v>43</v>
      </c>
      <c r="I59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1</v>
      </c>
      <c r="H60" t="s">
        <v>34</v>
      </c>
      <c r="I60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2</v>
      </c>
      <c r="H61" t="s">
        <v>19</v>
      </c>
      <c r="I61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0</v>
      </c>
      <c r="F62" s="12" t="s">
        <v>145</v>
      </c>
      <c r="G62" s="12">
        <v>2</v>
      </c>
      <c r="H62" t="s">
        <v>68</v>
      </c>
      <c r="I62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0</v>
      </c>
      <c r="H63" t="s">
        <v>72</v>
      </c>
      <c r="I63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1</v>
      </c>
      <c r="H64" t="s">
        <v>62</v>
      </c>
      <c r="I64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2</v>
      </c>
      <c r="H65" t="s">
        <v>54</v>
      </c>
      <c r="I65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1</v>
      </c>
      <c r="H66" t="s">
        <v>65</v>
      </c>
      <c r="I66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3</v>
      </c>
      <c r="H67" t="s">
        <v>59</v>
      </c>
      <c r="I67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2</v>
      </c>
      <c r="F68" s="12" t="s">
        <v>145</v>
      </c>
      <c r="G68" s="12">
        <v>1</v>
      </c>
      <c r="H68" t="s">
        <v>88</v>
      </c>
      <c r="I68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2</v>
      </c>
      <c r="H70" t="s">
        <v>82</v>
      </c>
      <c r="I70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0</v>
      </c>
      <c r="H71" t="s">
        <v>91</v>
      </c>
      <c r="I71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0</v>
      </c>
      <c r="F72" s="12" t="s">
        <v>145</v>
      </c>
      <c r="G72" s="12">
        <v>1</v>
      </c>
      <c r="H72" t="s">
        <v>78</v>
      </c>
      <c r="I72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IF(OR(Tabela_33463[[#This Row],[Placar Mandante]]="",Tabela_33463[[#This Row],[Placar Visitante]]="",Tabela_3[[#This Row],[Placar Mandante]]="",Tabela_3[[#This Row],[Placar Visitante]]=""),0,
IF(AND(Tabela_33463[[#This Row],[Placar Mandante]]=Tabela_3[[#This Row],[Placar Mandante]],Tabela_33463[[#This Row],[Placar Visitante]]=Tabela_3[[#This Row],[Placar Visitante]]),3,
IF(SIGN(Tabela_33463[[#This Row],[Placar Mandante]]-Tabela_33463[[#This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ADAC-404A-4C6B-8AC2-B3F20C9BAA33}">
  <dimension ref="A1:K73"/>
  <sheetViews>
    <sheetView topLeftCell="B1" zoomScaleNormal="100" workbookViewId="0">
      <selection activeCell="H75" sqref="H75"/>
    </sheetView>
  </sheetViews>
  <sheetFormatPr defaultColWidth="8.88671875" defaultRowHeight="14.4" x14ac:dyDescent="0.3"/>
  <cols>
    <col min="1" max="1" width="11.6640625" style="11" hidden="1" customWidth="1"/>
    <col min="2" max="2" width="10.33203125" style="11" bestFit="1" customWidth="1"/>
    <col min="3" max="3" width="9.44140625" style="11" bestFit="1" customWidth="1"/>
    <col min="4" max="4" width="18.33203125" style="11" bestFit="1" customWidth="1"/>
    <col min="5" max="5" width="18.33203125" style="11" customWidth="1"/>
    <col min="6" max="6" width="4.109375" style="12" bestFit="1" customWidth="1"/>
    <col min="7" max="7" width="18.33203125" style="11" customWidth="1"/>
    <col min="8" max="8" width="18.33203125" style="11" bestFit="1" customWidth="1"/>
    <col min="9" max="9" width="9.77734375" style="11" bestFit="1" customWidth="1"/>
    <col min="10" max="10" width="9.77734375" style="11" customWidth="1"/>
    <col min="11" max="11" width="10.33203125" style="11" bestFit="1" customWidth="1"/>
    <col min="12" max="16384" width="8.88671875" style="11"/>
  </cols>
  <sheetData>
    <row r="1" spans="1:11" x14ac:dyDescent="0.3">
      <c r="A1" s="11" t="s">
        <v>0</v>
      </c>
      <c r="B1" t="s">
        <v>3</v>
      </c>
      <c r="C1" t="s">
        <v>4</v>
      </c>
      <c r="D1" t="s">
        <v>1</v>
      </c>
      <c r="E1" t="s">
        <v>144</v>
      </c>
      <c r="F1" s="2" t="s">
        <v>145</v>
      </c>
      <c r="G1" t="s">
        <v>146</v>
      </c>
      <c r="H1" t="s">
        <v>2</v>
      </c>
      <c r="I1" s="11" t="s">
        <v>147</v>
      </c>
      <c r="K1" s="1" t="s">
        <v>147</v>
      </c>
    </row>
    <row r="2" spans="1:11" x14ac:dyDescent="0.3">
      <c r="A2" s="11" t="s">
        <v>5</v>
      </c>
      <c r="B2" t="s">
        <v>8</v>
      </c>
      <c r="C2" t="s">
        <v>9</v>
      </c>
      <c r="D2" t="s">
        <v>6</v>
      </c>
      <c r="E2" s="12">
        <v>2</v>
      </c>
      <c r="F2" s="12" t="s">
        <v>145</v>
      </c>
      <c r="G2" s="12">
        <v>1</v>
      </c>
      <c r="H2" t="s">
        <v>7</v>
      </c>
      <c r="I2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  <c r="J2" s="13"/>
      <c r="K2" s="3">
        <f>SUM(Tabela_33464[Pontuação])</f>
        <v>0</v>
      </c>
    </row>
    <row r="3" spans="1:11" x14ac:dyDescent="0.3">
      <c r="A3" s="11" t="s">
        <v>10</v>
      </c>
      <c r="B3" t="s">
        <v>8</v>
      </c>
      <c r="C3" t="s">
        <v>13</v>
      </c>
      <c r="D3" t="s">
        <v>11</v>
      </c>
      <c r="E3" s="12">
        <v>1</v>
      </c>
      <c r="F3" s="12" t="s">
        <v>145</v>
      </c>
      <c r="G3" s="12">
        <v>1</v>
      </c>
      <c r="H3" t="s">
        <v>12</v>
      </c>
      <c r="I3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4" spans="1:11" x14ac:dyDescent="0.3">
      <c r="A4" s="11" t="s">
        <v>14</v>
      </c>
      <c r="B4" t="s">
        <v>17</v>
      </c>
      <c r="C4" t="s">
        <v>9</v>
      </c>
      <c r="D4" t="s">
        <v>15</v>
      </c>
      <c r="E4" s="12">
        <v>1</v>
      </c>
      <c r="F4" s="12" t="s">
        <v>145</v>
      </c>
      <c r="G4" s="12">
        <v>0</v>
      </c>
      <c r="H4" t="s">
        <v>16</v>
      </c>
      <c r="I4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5" spans="1:11" x14ac:dyDescent="0.3">
      <c r="A5" s="11" t="s">
        <v>18</v>
      </c>
      <c r="B5" t="s">
        <v>17</v>
      </c>
      <c r="C5" t="s">
        <v>21</v>
      </c>
      <c r="D5" t="s">
        <v>19</v>
      </c>
      <c r="E5" s="12">
        <v>2</v>
      </c>
      <c r="F5" s="12" t="s">
        <v>145</v>
      </c>
      <c r="G5" s="12">
        <v>1</v>
      </c>
      <c r="H5" t="s">
        <v>20</v>
      </c>
      <c r="I5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  <c r="J5" s="14"/>
    </row>
    <row r="6" spans="1:11" x14ac:dyDescent="0.3">
      <c r="A6" s="11" t="s">
        <v>22</v>
      </c>
      <c r="B6" t="s">
        <v>25</v>
      </c>
      <c r="C6" t="s">
        <v>9</v>
      </c>
      <c r="D6" t="s">
        <v>23</v>
      </c>
      <c r="E6" s="12">
        <v>0</v>
      </c>
      <c r="F6" s="12" t="s">
        <v>145</v>
      </c>
      <c r="G6" s="12">
        <v>2</v>
      </c>
      <c r="H6" t="s">
        <v>24</v>
      </c>
      <c r="I6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  <c r="J6" s="15"/>
    </row>
    <row r="7" spans="1:11" x14ac:dyDescent="0.3">
      <c r="A7" s="11" t="s">
        <v>26</v>
      </c>
      <c r="B7" t="s">
        <v>25</v>
      </c>
      <c r="C7" t="s">
        <v>29</v>
      </c>
      <c r="D7" t="s">
        <v>27</v>
      </c>
      <c r="E7" s="12">
        <v>2</v>
      </c>
      <c r="F7" s="12" t="s">
        <v>145</v>
      </c>
      <c r="G7" s="12">
        <v>0</v>
      </c>
      <c r="H7" t="s">
        <v>28</v>
      </c>
      <c r="I7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8" spans="1:11" ht="18" x14ac:dyDescent="0.3">
      <c r="A8" s="11" t="s">
        <v>30</v>
      </c>
      <c r="B8" t="s">
        <v>25</v>
      </c>
      <c r="C8" t="s">
        <v>21</v>
      </c>
      <c r="D8" t="s">
        <v>31</v>
      </c>
      <c r="E8" s="12">
        <v>0</v>
      </c>
      <c r="F8" s="12" t="s">
        <v>145</v>
      </c>
      <c r="G8" s="12">
        <v>2</v>
      </c>
      <c r="H8" t="s">
        <v>32</v>
      </c>
      <c r="I8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  <c r="J8" s="16"/>
      <c r="K8" s="17"/>
    </row>
    <row r="9" spans="1:11" x14ac:dyDescent="0.3">
      <c r="A9" s="11" t="s">
        <v>33</v>
      </c>
      <c r="B9" t="s">
        <v>36</v>
      </c>
      <c r="C9" t="s">
        <v>37</v>
      </c>
      <c r="D9" t="s">
        <v>34</v>
      </c>
      <c r="E9" s="12">
        <v>1</v>
      </c>
      <c r="F9" s="12" t="s">
        <v>145</v>
      </c>
      <c r="G9" s="12">
        <v>1</v>
      </c>
      <c r="H9" t="s">
        <v>35</v>
      </c>
      <c r="I9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10" spans="1:11" x14ac:dyDescent="0.3">
      <c r="A10" s="11" t="s">
        <v>38</v>
      </c>
      <c r="B10" t="s">
        <v>36</v>
      </c>
      <c r="C10" t="s">
        <v>41</v>
      </c>
      <c r="D10" t="s">
        <v>39</v>
      </c>
      <c r="E10" s="12">
        <v>4</v>
      </c>
      <c r="F10" s="12" t="s">
        <v>145</v>
      </c>
      <c r="G10" s="12">
        <v>0</v>
      </c>
      <c r="H10" t="s">
        <v>40</v>
      </c>
      <c r="I10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11" spans="1:11" x14ac:dyDescent="0.3">
      <c r="A11" s="11" t="s">
        <v>42</v>
      </c>
      <c r="B11" t="s">
        <v>36</v>
      </c>
      <c r="C11" t="s">
        <v>45</v>
      </c>
      <c r="D11" t="s">
        <v>43</v>
      </c>
      <c r="E11" s="12">
        <v>2</v>
      </c>
      <c r="F11" s="12" t="s">
        <v>145</v>
      </c>
      <c r="G11" s="12">
        <v>1</v>
      </c>
      <c r="H11" t="s">
        <v>44</v>
      </c>
      <c r="I11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12" spans="1:11" x14ac:dyDescent="0.3">
      <c r="A12" s="11" t="s">
        <v>46</v>
      </c>
      <c r="B12" t="s">
        <v>36</v>
      </c>
      <c r="C12" t="s">
        <v>49</v>
      </c>
      <c r="D12" t="s">
        <v>47</v>
      </c>
      <c r="E12" s="12">
        <v>1</v>
      </c>
      <c r="F12" s="12" t="s">
        <v>145</v>
      </c>
      <c r="G12" s="12">
        <v>1</v>
      </c>
      <c r="H12" t="s">
        <v>48</v>
      </c>
      <c r="I12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13" spans="1:11" x14ac:dyDescent="0.3">
      <c r="A13" s="11" t="s">
        <v>50</v>
      </c>
      <c r="B13" t="s">
        <v>36</v>
      </c>
      <c r="C13" t="s">
        <v>13</v>
      </c>
      <c r="D13" t="s">
        <v>51</v>
      </c>
      <c r="E13" s="12">
        <v>1</v>
      </c>
      <c r="F13" s="12" t="s">
        <v>145</v>
      </c>
      <c r="G13" s="12">
        <v>0</v>
      </c>
      <c r="H13" t="s">
        <v>52</v>
      </c>
      <c r="I13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14" spans="1:11" x14ac:dyDescent="0.3">
      <c r="A14" s="11" t="s">
        <v>53</v>
      </c>
      <c r="B14" t="s">
        <v>56</v>
      </c>
      <c r="C14" t="s">
        <v>57</v>
      </c>
      <c r="D14" t="s">
        <v>54</v>
      </c>
      <c r="E14" s="12">
        <v>3</v>
      </c>
      <c r="F14" s="12" t="s">
        <v>145</v>
      </c>
      <c r="G14" s="12">
        <v>0</v>
      </c>
      <c r="H14" t="s">
        <v>55</v>
      </c>
      <c r="I14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15" spans="1:11" x14ac:dyDescent="0.3">
      <c r="A15" s="11" t="s">
        <v>58</v>
      </c>
      <c r="B15" t="s">
        <v>56</v>
      </c>
      <c r="C15" t="s">
        <v>9</v>
      </c>
      <c r="D15" t="s">
        <v>59</v>
      </c>
      <c r="E15" s="12">
        <v>2</v>
      </c>
      <c r="F15" s="12" t="s">
        <v>145</v>
      </c>
      <c r="G15" s="12">
        <v>0</v>
      </c>
      <c r="H15" t="s">
        <v>60</v>
      </c>
      <c r="I15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16" spans="1:11" x14ac:dyDescent="0.3">
      <c r="A16" s="11" t="s">
        <v>61</v>
      </c>
      <c r="B16" t="s">
        <v>56</v>
      </c>
      <c r="C16" t="s">
        <v>29</v>
      </c>
      <c r="D16" t="s">
        <v>62</v>
      </c>
      <c r="E16" s="12">
        <v>0</v>
      </c>
      <c r="F16" s="12" t="s">
        <v>145</v>
      </c>
      <c r="G16" s="12">
        <v>2</v>
      </c>
      <c r="H16" t="s">
        <v>63</v>
      </c>
      <c r="I16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17" spans="1:9" x14ac:dyDescent="0.3">
      <c r="A17" s="11" t="s">
        <v>64</v>
      </c>
      <c r="B17" t="s">
        <v>56</v>
      </c>
      <c r="C17" t="s">
        <v>21</v>
      </c>
      <c r="D17" t="s">
        <v>65</v>
      </c>
      <c r="E17" s="12">
        <v>1</v>
      </c>
      <c r="F17" s="12" t="s">
        <v>145</v>
      </c>
      <c r="G17" s="12">
        <v>0</v>
      </c>
      <c r="H17" t="s">
        <v>66</v>
      </c>
      <c r="I17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18" spans="1:9" x14ac:dyDescent="0.3">
      <c r="A18" s="11" t="s">
        <v>67</v>
      </c>
      <c r="B18" t="s">
        <v>70</v>
      </c>
      <c r="C18" t="s">
        <v>9</v>
      </c>
      <c r="D18" t="s">
        <v>68</v>
      </c>
      <c r="E18" s="12">
        <v>3</v>
      </c>
      <c r="F18" s="12" t="s">
        <v>145</v>
      </c>
      <c r="G18" s="12">
        <v>1</v>
      </c>
      <c r="H18" t="s">
        <v>69</v>
      </c>
      <c r="I18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19" spans="1:9" x14ac:dyDescent="0.3">
      <c r="A19" s="11" t="s">
        <v>71</v>
      </c>
      <c r="B19" t="s">
        <v>70</v>
      </c>
      <c r="C19" t="s">
        <v>29</v>
      </c>
      <c r="D19" t="s">
        <v>72</v>
      </c>
      <c r="E19" s="12">
        <v>0</v>
      </c>
      <c r="F19" s="12" t="s">
        <v>145</v>
      </c>
      <c r="G19" s="12">
        <v>2</v>
      </c>
      <c r="H19" t="s">
        <v>73</v>
      </c>
      <c r="I19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20" spans="1:9" x14ac:dyDescent="0.3">
      <c r="A20" s="11" t="s">
        <v>74</v>
      </c>
      <c r="B20" t="s">
        <v>70</v>
      </c>
      <c r="C20" t="s">
        <v>21</v>
      </c>
      <c r="D20" t="s">
        <v>75</v>
      </c>
      <c r="E20" s="12">
        <v>3</v>
      </c>
      <c r="F20" s="12" t="s">
        <v>145</v>
      </c>
      <c r="G20" s="12">
        <v>0</v>
      </c>
      <c r="H20" t="s">
        <v>76</v>
      </c>
      <c r="I20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21" spans="1:9" x14ac:dyDescent="0.3">
      <c r="A21" s="11" t="s">
        <v>77</v>
      </c>
      <c r="B21" t="s">
        <v>80</v>
      </c>
      <c r="C21" t="s">
        <v>37</v>
      </c>
      <c r="D21" t="s">
        <v>78</v>
      </c>
      <c r="E21" s="12">
        <v>2</v>
      </c>
      <c r="F21" s="12" t="s">
        <v>145</v>
      </c>
      <c r="G21" s="12">
        <v>0</v>
      </c>
      <c r="H21" t="s">
        <v>79</v>
      </c>
      <c r="I21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22" spans="1:9" x14ac:dyDescent="0.3">
      <c r="A22" s="11" t="s">
        <v>81</v>
      </c>
      <c r="B22" t="s">
        <v>80</v>
      </c>
      <c r="C22" t="s">
        <v>41</v>
      </c>
      <c r="D22" t="s">
        <v>82</v>
      </c>
      <c r="E22" s="12">
        <v>3</v>
      </c>
      <c r="F22" s="12" t="s">
        <v>145</v>
      </c>
      <c r="G22" s="12">
        <v>1</v>
      </c>
      <c r="H22" t="s">
        <v>83</v>
      </c>
      <c r="I22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23" spans="1:9" x14ac:dyDescent="0.3">
      <c r="A23" s="11" t="s">
        <v>84</v>
      </c>
      <c r="B23" t="s">
        <v>80</v>
      </c>
      <c r="C23" t="s">
        <v>45</v>
      </c>
      <c r="D23" t="s">
        <v>85</v>
      </c>
      <c r="E23" s="12">
        <v>2</v>
      </c>
      <c r="F23" s="12" t="s">
        <v>145</v>
      </c>
      <c r="G23" s="12">
        <v>1</v>
      </c>
      <c r="H23" t="s">
        <v>86</v>
      </c>
      <c r="I23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24" spans="1:9" x14ac:dyDescent="0.3">
      <c r="A24" s="11" t="s">
        <v>87</v>
      </c>
      <c r="B24" t="s">
        <v>80</v>
      </c>
      <c r="C24" t="s">
        <v>49</v>
      </c>
      <c r="D24" t="s">
        <v>88</v>
      </c>
      <c r="E24" s="12">
        <v>1</v>
      </c>
      <c r="F24" s="12" t="s">
        <v>145</v>
      </c>
      <c r="G24" s="12">
        <v>0</v>
      </c>
      <c r="H24" t="s">
        <v>89</v>
      </c>
      <c r="I24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25" spans="1:9" x14ac:dyDescent="0.3">
      <c r="A25" s="11" t="s">
        <v>90</v>
      </c>
      <c r="B25" t="s">
        <v>80</v>
      </c>
      <c r="C25" t="s">
        <v>13</v>
      </c>
      <c r="D25" t="s">
        <v>91</v>
      </c>
      <c r="E25" s="12">
        <v>0</v>
      </c>
      <c r="F25" s="12" t="s">
        <v>145</v>
      </c>
      <c r="G25" s="12">
        <v>2</v>
      </c>
      <c r="H25" t="s">
        <v>92</v>
      </c>
      <c r="I25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26" spans="1:9" x14ac:dyDescent="0.3">
      <c r="A26" s="11" t="s">
        <v>93</v>
      </c>
      <c r="B26" t="s">
        <v>94</v>
      </c>
      <c r="C26" t="s">
        <v>57</v>
      </c>
      <c r="D26" t="s">
        <v>12</v>
      </c>
      <c r="E26" s="12">
        <v>2</v>
      </c>
      <c r="F26" s="12" t="s">
        <v>145</v>
      </c>
      <c r="G26" s="12">
        <v>0</v>
      </c>
      <c r="H26" t="s">
        <v>7</v>
      </c>
      <c r="I26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27" spans="1:9" x14ac:dyDescent="0.3">
      <c r="A27" s="11" t="s">
        <v>95</v>
      </c>
      <c r="B27" t="s">
        <v>94</v>
      </c>
      <c r="C27" t="s">
        <v>9</v>
      </c>
      <c r="D27" t="s">
        <v>24</v>
      </c>
      <c r="E27" s="12">
        <v>2</v>
      </c>
      <c r="F27" s="12" t="s">
        <v>145</v>
      </c>
      <c r="G27" s="12">
        <v>1</v>
      </c>
      <c r="H27" t="s">
        <v>16</v>
      </c>
      <c r="I27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28" spans="1:9" x14ac:dyDescent="0.3">
      <c r="A28" s="11" t="s">
        <v>96</v>
      </c>
      <c r="B28" t="s">
        <v>94</v>
      </c>
      <c r="C28" t="s">
        <v>29</v>
      </c>
      <c r="D28" t="s">
        <v>15</v>
      </c>
      <c r="E28" s="12">
        <v>1</v>
      </c>
      <c r="F28" s="12" t="s">
        <v>145</v>
      </c>
      <c r="G28" s="12">
        <v>1</v>
      </c>
      <c r="H28" t="s">
        <v>23</v>
      </c>
      <c r="I28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29" spans="1:9" x14ac:dyDescent="0.3">
      <c r="A29" s="11" t="s">
        <v>97</v>
      </c>
      <c r="B29" t="s">
        <v>94</v>
      </c>
      <c r="C29" t="s">
        <v>21</v>
      </c>
      <c r="D29" t="s">
        <v>6</v>
      </c>
      <c r="E29" s="12">
        <v>1</v>
      </c>
      <c r="F29" s="12" t="s">
        <v>145</v>
      </c>
      <c r="G29" s="12">
        <v>1</v>
      </c>
      <c r="H29" t="s">
        <v>11</v>
      </c>
      <c r="I29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30" spans="1:9" x14ac:dyDescent="0.3">
      <c r="A30" s="11" t="s">
        <v>98</v>
      </c>
      <c r="B30" t="s">
        <v>99</v>
      </c>
      <c r="C30" t="s">
        <v>9</v>
      </c>
      <c r="D30" t="s">
        <v>19</v>
      </c>
      <c r="E30" s="12">
        <v>2</v>
      </c>
      <c r="F30" s="12" t="s">
        <v>145</v>
      </c>
      <c r="G30" s="12">
        <v>1</v>
      </c>
      <c r="H30" t="s">
        <v>34</v>
      </c>
      <c r="I30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31" spans="1:9" x14ac:dyDescent="0.3">
      <c r="A31" s="11" t="s">
        <v>100</v>
      </c>
      <c r="B31" t="s">
        <v>99</v>
      </c>
      <c r="C31" t="s">
        <v>29</v>
      </c>
      <c r="D31" t="s">
        <v>32</v>
      </c>
      <c r="E31" s="12">
        <v>1</v>
      </c>
      <c r="F31" s="12" t="s">
        <v>145</v>
      </c>
      <c r="G31" s="12">
        <v>1</v>
      </c>
      <c r="H31" t="s">
        <v>28</v>
      </c>
      <c r="I31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32" spans="1:9" x14ac:dyDescent="0.3">
      <c r="A32" s="11" t="s">
        <v>101</v>
      </c>
      <c r="B32" t="s">
        <v>99</v>
      </c>
      <c r="C32" t="s">
        <v>102</v>
      </c>
      <c r="D32" t="s">
        <v>27</v>
      </c>
      <c r="E32" s="12">
        <v>4</v>
      </c>
      <c r="F32" s="12" t="s">
        <v>145</v>
      </c>
      <c r="G32" s="12">
        <v>0</v>
      </c>
      <c r="H32" t="s">
        <v>31</v>
      </c>
      <c r="I32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33" spans="1:9" x14ac:dyDescent="0.3">
      <c r="A33" s="11" t="s">
        <v>103</v>
      </c>
      <c r="B33" t="s">
        <v>104</v>
      </c>
      <c r="C33" t="s">
        <v>105</v>
      </c>
      <c r="D33" t="s">
        <v>35</v>
      </c>
      <c r="E33" s="12">
        <v>1</v>
      </c>
      <c r="F33" s="12" t="s">
        <v>145</v>
      </c>
      <c r="G33" s="12">
        <v>1</v>
      </c>
      <c r="H33" t="s">
        <v>20</v>
      </c>
      <c r="I33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34" spans="1:9" x14ac:dyDescent="0.3">
      <c r="A34" s="11" t="s">
        <v>106</v>
      </c>
      <c r="B34" t="s">
        <v>104</v>
      </c>
      <c r="C34" t="s">
        <v>41</v>
      </c>
      <c r="D34" t="s">
        <v>43</v>
      </c>
      <c r="E34" s="12">
        <v>2</v>
      </c>
      <c r="F34" s="12" t="s">
        <v>145</v>
      </c>
      <c r="G34" s="12">
        <v>0</v>
      </c>
      <c r="H34" t="s">
        <v>51</v>
      </c>
      <c r="I34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35" spans="1:9" x14ac:dyDescent="0.3">
      <c r="A35" s="11" t="s">
        <v>107</v>
      </c>
      <c r="B35" t="s">
        <v>104</v>
      </c>
      <c r="C35" t="s">
        <v>45</v>
      </c>
      <c r="D35" t="s">
        <v>39</v>
      </c>
      <c r="E35" s="12">
        <v>3</v>
      </c>
      <c r="F35" s="12" t="s">
        <v>145</v>
      </c>
      <c r="G35" s="12">
        <v>1</v>
      </c>
      <c r="H35" t="s">
        <v>47</v>
      </c>
      <c r="I35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36" spans="1:9" x14ac:dyDescent="0.3">
      <c r="A36" s="11" t="s">
        <v>108</v>
      </c>
      <c r="B36" t="s">
        <v>104</v>
      </c>
      <c r="C36" t="s">
        <v>109</v>
      </c>
      <c r="D36" t="s">
        <v>48</v>
      </c>
      <c r="E36" s="12">
        <v>2</v>
      </c>
      <c r="F36" s="12" t="s">
        <v>145</v>
      </c>
      <c r="G36" s="12">
        <v>0</v>
      </c>
      <c r="H36" t="s">
        <v>40</v>
      </c>
      <c r="I36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37" spans="1:9" x14ac:dyDescent="0.3">
      <c r="A37" s="11" t="s">
        <v>110</v>
      </c>
      <c r="B37" t="s">
        <v>111</v>
      </c>
      <c r="C37" t="s">
        <v>37</v>
      </c>
      <c r="D37" t="s">
        <v>52</v>
      </c>
      <c r="E37" s="12">
        <v>0</v>
      </c>
      <c r="F37" s="12" t="s">
        <v>145</v>
      </c>
      <c r="G37" s="12">
        <v>2</v>
      </c>
      <c r="H37" t="s">
        <v>44</v>
      </c>
      <c r="I37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38" spans="1:9" x14ac:dyDescent="0.3">
      <c r="A38" s="11" t="s">
        <v>112</v>
      </c>
      <c r="B38" t="s">
        <v>111</v>
      </c>
      <c r="C38" t="s">
        <v>57</v>
      </c>
      <c r="D38" t="s">
        <v>54</v>
      </c>
      <c r="E38" s="12">
        <v>2</v>
      </c>
      <c r="F38" s="12" t="s">
        <v>145</v>
      </c>
      <c r="G38" s="12">
        <v>0</v>
      </c>
      <c r="H38" t="s">
        <v>62</v>
      </c>
      <c r="I38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39" spans="1:9" x14ac:dyDescent="0.3">
      <c r="A39" s="11" t="s">
        <v>113</v>
      </c>
      <c r="B39" t="s">
        <v>111</v>
      </c>
      <c r="C39" t="s">
        <v>9</v>
      </c>
      <c r="D39" t="s">
        <v>59</v>
      </c>
      <c r="E39" s="12">
        <v>2</v>
      </c>
      <c r="F39" s="12" t="s">
        <v>145</v>
      </c>
      <c r="G39" s="12">
        <v>1</v>
      </c>
      <c r="H39" t="s">
        <v>65</v>
      </c>
      <c r="I39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40" spans="1:9" x14ac:dyDescent="0.3">
      <c r="A40" s="11" t="s">
        <v>114</v>
      </c>
      <c r="B40" t="s">
        <v>111</v>
      </c>
      <c r="C40" t="s">
        <v>29</v>
      </c>
      <c r="D40" t="s">
        <v>63</v>
      </c>
      <c r="E40" s="12">
        <v>3</v>
      </c>
      <c r="F40" s="12" t="s">
        <v>145</v>
      </c>
      <c r="G40" s="12">
        <v>0</v>
      </c>
      <c r="H40" t="s">
        <v>55</v>
      </c>
      <c r="I40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41" spans="1:9" x14ac:dyDescent="0.3">
      <c r="A41" s="11" t="s">
        <v>115</v>
      </c>
      <c r="B41" t="s">
        <v>111</v>
      </c>
      <c r="C41" t="s">
        <v>21</v>
      </c>
      <c r="D41" t="s">
        <v>66</v>
      </c>
      <c r="E41" s="12">
        <v>0</v>
      </c>
      <c r="F41" s="12" t="s">
        <v>145</v>
      </c>
      <c r="G41" s="12">
        <v>1</v>
      </c>
      <c r="H41" t="s">
        <v>60</v>
      </c>
      <c r="I41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42" spans="1:9" x14ac:dyDescent="0.3">
      <c r="A42" s="11" t="s">
        <v>116</v>
      </c>
      <c r="B42" t="s">
        <v>117</v>
      </c>
      <c r="C42" t="s">
        <v>41</v>
      </c>
      <c r="D42" t="s">
        <v>75</v>
      </c>
      <c r="E42" s="12">
        <v>2</v>
      </c>
      <c r="F42" s="12" t="s">
        <v>145</v>
      </c>
      <c r="G42" s="12">
        <v>0</v>
      </c>
      <c r="H42" t="s">
        <v>78</v>
      </c>
      <c r="I42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43" spans="1:9" x14ac:dyDescent="0.3">
      <c r="A43" s="11" t="s">
        <v>118</v>
      </c>
      <c r="B43" t="s">
        <v>117</v>
      </c>
      <c r="C43" t="s">
        <v>119</v>
      </c>
      <c r="D43" t="s">
        <v>68</v>
      </c>
      <c r="E43" s="12">
        <v>3</v>
      </c>
      <c r="F43" s="12" t="s">
        <v>145</v>
      </c>
      <c r="G43" s="12">
        <v>0</v>
      </c>
      <c r="H43" t="s">
        <v>72</v>
      </c>
      <c r="I43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44" spans="1:9" x14ac:dyDescent="0.3">
      <c r="A44" s="11" t="s">
        <v>120</v>
      </c>
      <c r="B44" t="s">
        <v>117</v>
      </c>
      <c r="C44" t="s">
        <v>109</v>
      </c>
      <c r="D44" t="s">
        <v>73</v>
      </c>
      <c r="E44" s="12">
        <v>1</v>
      </c>
      <c r="F44" s="12" t="s">
        <v>145</v>
      </c>
      <c r="G44" s="12">
        <v>1</v>
      </c>
      <c r="H44" t="s">
        <v>69</v>
      </c>
      <c r="I44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45" spans="1:9" x14ac:dyDescent="0.3">
      <c r="A45" s="11" t="s">
        <v>121</v>
      </c>
      <c r="B45" t="s">
        <v>122</v>
      </c>
      <c r="C45" t="s">
        <v>105</v>
      </c>
      <c r="D45" t="s">
        <v>79</v>
      </c>
      <c r="E45" s="12">
        <v>0</v>
      </c>
      <c r="F45" s="12" t="s">
        <v>145</v>
      </c>
      <c r="G45" s="12">
        <v>1</v>
      </c>
      <c r="H45" t="s">
        <v>76</v>
      </c>
      <c r="I45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46" spans="1:9" x14ac:dyDescent="0.3">
      <c r="A46" s="11" t="s">
        <v>123</v>
      </c>
      <c r="B46" t="s">
        <v>122</v>
      </c>
      <c r="C46" t="s">
        <v>41</v>
      </c>
      <c r="D46" t="s">
        <v>82</v>
      </c>
      <c r="E46" s="12">
        <v>2</v>
      </c>
      <c r="F46" s="12" t="s">
        <v>145</v>
      </c>
      <c r="G46" s="12">
        <v>0</v>
      </c>
      <c r="H46" t="s">
        <v>91</v>
      </c>
      <c r="I46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47" spans="1:9" x14ac:dyDescent="0.3">
      <c r="A47" s="11" t="s">
        <v>124</v>
      </c>
      <c r="B47" t="s">
        <v>122</v>
      </c>
      <c r="C47" t="s">
        <v>45</v>
      </c>
      <c r="D47" t="s">
        <v>85</v>
      </c>
      <c r="E47" s="12">
        <v>2</v>
      </c>
      <c r="F47" s="12" t="s">
        <v>145</v>
      </c>
      <c r="G47" s="12">
        <v>0</v>
      </c>
      <c r="H47" t="s">
        <v>88</v>
      </c>
      <c r="I47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48" spans="1:9" x14ac:dyDescent="0.3">
      <c r="A48" s="11" t="s">
        <v>125</v>
      </c>
      <c r="B48" t="s">
        <v>122</v>
      </c>
      <c r="C48" t="s">
        <v>49</v>
      </c>
      <c r="D48" t="s">
        <v>89</v>
      </c>
      <c r="E48" s="12">
        <v>0</v>
      </c>
      <c r="F48" s="12" t="s">
        <v>145</v>
      </c>
      <c r="G48" s="12">
        <v>2</v>
      </c>
      <c r="H48" t="s">
        <v>86</v>
      </c>
      <c r="I48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49" spans="1:9" x14ac:dyDescent="0.3">
      <c r="A49" s="11" t="s">
        <v>126</v>
      </c>
      <c r="B49" t="s">
        <v>122</v>
      </c>
      <c r="C49" t="s">
        <v>13</v>
      </c>
      <c r="D49" t="s">
        <v>92</v>
      </c>
      <c r="E49" s="12">
        <v>2</v>
      </c>
      <c r="F49" s="12" t="s">
        <v>145</v>
      </c>
      <c r="G49" s="12">
        <v>1</v>
      </c>
      <c r="H49" t="s">
        <v>83</v>
      </c>
      <c r="I49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50" spans="1:9" x14ac:dyDescent="0.3">
      <c r="A50" s="11" t="s">
        <v>127</v>
      </c>
      <c r="B50" t="s">
        <v>128</v>
      </c>
      <c r="C50" t="s">
        <v>9</v>
      </c>
      <c r="D50" t="s">
        <v>16</v>
      </c>
      <c r="E50" s="12">
        <v>1</v>
      </c>
      <c r="F50" s="12" t="s">
        <v>145</v>
      </c>
      <c r="G50" s="12">
        <v>1</v>
      </c>
      <c r="H50" t="s">
        <v>23</v>
      </c>
      <c r="I50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51" spans="1:9" x14ac:dyDescent="0.3">
      <c r="A51" s="11" t="s">
        <v>127</v>
      </c>
      <c r="B51" t="s">
        <v>128</v>
      </c>
      <c r="C51" t="s">
        <v>9</v>
      </c>
      <c r="D51" t="s">
        <v>24</v>
      </c>
      <c r="E51" s="12">
        <v>1</v>
      </c>
      <c r="F51" s="12" t="s">
        <v>145</v>
      </c>
      <c r="G51" s="12">
        <v>1</v>
      </c>
      <c r="H51" t="s">
        <v>15</v>
      </c>
      <c r="I51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52" spans="1:9" x14ac:dyDescent="0.3">
      <c r="A52" s="11" t="s">
        <v>129</v>
      </c>
      <c r="B52" t="s">
        <v>128</v>
      </c>
      <c r="C52" t="s">
        <v>29</v>
      </c>
      <c r="D52" t="s">
        <v>32</v>
      </c>
      <c r="E52" s="12">
        <v>0</v>
      </c>
      <c r="F52" s="12" t="s">
        <v>145</v>
      </c>
      <c r="G52" s="12">
        <v>2</v>
      </c>
      <c r="H52" t="s">
        <v>27</v>
      </c>
      <c r="I52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53" spans="1:9" x14ac:dyDescent="0.3">
      <c r="A53" s="11" t="s">
        <v>129</v>
      </c>
      <c r="B53" t="s">
        <v>128</v>
      </c>
      <c r="C53" t="s">
        <v>29</v>
      </c>
      <c r="D53" t="s">
        <v>28</v>
      </c>
      <c r="E53" s="12">
        <v>2</v>
      </c>
      <c r="F53" s="12" t="s">
        <v>145</v>
      </c>
      <c r="G53" s="12">
        <v>0</v>
      </c>
      <c r="H53" t="s">
        <v>31</v>
      </c>
      <c r="I53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54" spans="1:9" x14ac:dyDescent="0.3">
      <c r="A54" s="11" t="s">
        <v>130</v>
      </c>
      <c r="B54" t="s">
        <v>128</v>
      </c>
      <c r="C54" t="s">
        <v>21</v>
      </c>
      <c r="D54" t="s">
        <v>7</v>
      </c>
      <c r="E54" s="12">
        <v>0</v>
      </c>
      <c r="F54" s="12" t="s">
        <v>145</v>
      </c>
      <c r="G54" s="12">
        <v>2</v>
      </c>
      <c r="H54" t="s">
        <v>11</v>
      </c>
      <c r="I54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55" spans="1:9" x14ac:dyDescent="0.3">
      <c r="A55" s="11" t="s">
        <v>130</v>
      </c>
      <c r="B55" t="s">
        <v>128</v>
      </c>
      <c r="C55" t="s">
        <v>21</v>
      </c>
      <c r="D55" t="s">
        <v>12</v>
      </c>
      <c r="E55" s="12">
        <v>1</v>
      </c>
      <c r="F55" s="12" t="s">
        <v>145</v>
      </c>
      <c r="G55" s="12">
        <v>2</v>
      </c>
      <c r="H55" t="s">
        <v>6</v>
      </c>
      <c r="I55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56" spans="1:9" x14ac:dyDescent="0.3">
      <c r="A56" s="11" t="s">
        <v>131</v>
      </c>
      <c r="B56" t="s">
        <v>132</v>
      </c>
      <c r="C56" t="s">
        <v>45</v>
      </c>
      <c r="D56" t="s">
        <v>40</v>
      </c>
      <c r="E56" s="12">
        <v>0</v>
      </c>
      <c r="F56" s="12" t="s">
        <v>145</v>
      </c>
      <c r="G56" s="12">
        <v>2</v>
      </c>
      <c r="H56" t="s">
        <v>47</v>
      </c>
      <c r="I56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57" spans="1:9" x14ac:dyDescent="0.3">
      <c r="A57" s="11" t="s">
        <v>131</v>
      </c>
      <c r="B57" t="s">
        <v>132</v>
      </c>
      <c r="C57" t="s">
        <v>45</v>
      </c>
      <c r="D57" t="s">
        <v>48</v>
      </c>
      <c r="E57" s="12">
        <v>1</v>
      </c>
      <c r="F57" s="12" t="s">
        <v>145</v>
      </c>
      <c r="G57" s="12">
        <v>3</v>
      </c>
      <c r="H57" t="s">
        <v>39</v>
      </c>
      <c r="I57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58" spans="1:9" x14ac:dyDescent="0.3">
      <c r="A58" s="11" t="s">
        <v>133</v>
      </c>
      <c r="B58" t="s">
        <v>132</v>
      </c>
      <c r="C58" t="s">
        <v>49</v>
      </c>
      <c r="D58" t="s">
        <v>44</v>
      </c>
      <c r="E58" s="12">
        <v>1</v>
      </c>
      <c r="F58" s="12" t="s">
        <v>145</v>
      </c>
      <c r="G58" s="12">
        <v>1</v>
      </c>
      <c r="H58" t="s">
        <v>51</v>
      </c>
      <c r="I58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59" spans="1:9" x14ac:dyDescent="0.3">
      <c r="A59" s="11" t="s">
        <v>133</v>
      </c>
      <c r="B59" t="s">
        <v>132</v>
      </c>
      <c r="C59" t="s">
        <v>49</v>
      </c>
      <c r="D59" t="s">
        <v>52</v>
      </c>
      <c r="E59" s="12">
        <v>0</v>
      </c>
      <c r="F59" s="12" t="s">
        <v>145</v>
      </c>
      <c r="G59" s="12">
        <v>3</v>
      </c>
      <c r="H59" t="s">
        <v>43</v>
      </c>
      <c r="I59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60" spans="1:9" x14ac:dyDescent="0.3">
      <c r="A60" s="11" t="s">
        <v>134</v>
      </c>
      <c r="B60" t="s">
        <v>132</v>
      </c>
      <c r="C60" t="s">
        <v>13</v>
      </c>
      <c r="D60" t="s">
        <v>20</v>
      </c>
      <c r="E60" s="12">
        <v>1</v>
      </c>
      <c r="F60" s="12" t="s">
        <v>145</v>
      </c>
      <c r="G60" s="12">
        <v>1</v>
      </c>
      <c r="H60" t="s">
        <v>34</v>
      </c>
      <c r="I60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61" spans="1:9" x14ac:dyDescent="0.3">
      <c r="A61" s="11" t="s">
        <v>134</v>
      </c>
      <c r="B61" t="s">
        <v>132</v>
      </c>
      <c r="C61" t="s">
        <v>13</v>
      </c>
      <c r="D61" t="s">
        <v>35</v>
      </c>
      <c r="E61" s="12">
        <v>1</v>
      </c>
      <c r="F61" s="12" t="s">
        <v>145</v>
      </c>
      <c r="G61" s="12">
        <v>2</v>
      </c>
      <c r="H61" t="s">
        <v>19</v>
      </c>
      <c r="I61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62" spans="1:9" x14ac:dyDescent="0.3">
      <c r="A62" s="11" t="s">
        <v>135</v>
      </c>
      <c r="B62" t="s">
        <v>136</v>
      </c>
      <c r="C62" t="s">
        <v>9</v>
      </c>
      <c r="D62" t="s">
        <v>73</v>
      </c>
      <c r="E62" s="12">
        <v>1</v>
      </c>
      <c r="F62" s="12" t="s">
        <v>145</v>
      </c>
      <c r="G62" s="12">
        <v>2</v>
      </c>
      <c r="H62" t="s">
        <v>68</v>
      </c>
      <c r="I62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63" spans="1:9" x14ac:dyDescent="0.3">
      <c r="A63" s="11" t="s">
        <v>135</v>
      </c>
      <c r="B63" t="s">
        <v>136</v>
      </c>
      <c r="C63" t="s">
        <v>9</v>
      </c>
      <c r="D63" t="s">
        <v>69</v>
      </c>
      <c r="E63" s="12">
        <v>2</v>
      </c>
      <c r="F63" s="12" t="s">
        <v>145</v>
      </c>
      <c r="G63" s="12">
        <v>0</v>
      </c>
      <c r="H63" t="s">
        <v>72</v>
      </c>
      <c r="I63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64" spans="1:9" x14ac:dyDescent="0.3">
      <c r="A64" s="11" t="s">
        <v>137</v>
      </c>
      <c r="B64" t="s">
        <v>136</v>
      </c>
      <c r="C64" t="s">
        <v>109</v>
      </c>
      <c r="D64" t="s">
        <v>55</v>
      </c>
      <c r="E64" s="12">
        <v>1</v>
      </c>
      <c r="F64" s="12" t="s">
        <v>145</v>
      </c>
      <c r="G64" s="12">
        <v>2</v>
      </c>
      <c r="H64" t="s">
        <v>62</v>
      </c>
      <c r="I64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65" spans="1:9" x14ac:dyDescent="0.3">
      <c r="A65" s="11" t="s">
        <v>137</v>
      </c>
      <c r="B65" t="s">
        <v>136</v>
      </c>
      <c r="C65" t="s">
        <v>109</v>
      </c>
      <c r="D65" t="s">
        <v>63</v>
      </c>
      <c r="E65" s="12">
        <v>1</v>
      </c>
      <c r="F65" s="12" t="s">
        <v>145</v>
      </c>
      <c r="G65" s="12">
        <v>1</v>
      </c>
      <c r="H65" t="s">
        <v>54</v>
      </c>
      <c r="I65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66" spans="1:9" x14ac:dyDescent="0.3">
      <c r="A66" s="11" t="s">
        <v>138</v>
      </c>
      <c r="B66" t="s">
        <v>139</v>
      </c>
      <c r="C66" t="s">
        <v>105</v>
      </c>
      <c r="D66" t="s">
        <v>60</v>
      </c>
      <c r="E66" s="12">
        <v>1</v>
      </c>
      <c r="F66" s="12" t="s">
        <v>145</v>
      </c>
      <c r="G66" s="12">
        <v>1</v>
      </c>
      <c r="H66" t="s">
        <v>65</v>
      </c>
      <c r="I66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67" spans="1:9" x14ac:dyDescent="0.3">
      <c r="A67" s="11" t="s">
        <v>138</v>
      </c>
      <c r="B67" t="s">
        <v>139</v>
      </c>
      <c r="C67" t="s">
        <v>105</v>
      </c>
      <c r="D67" t="s">
        <v>66</v>
      </c>
      <c r="E67" s="12">
        <v>0</v>
      </c>
      <c r="F67" s="12" t="s">
        <v>145</v>
      </c>
      <c r="G67" s="12">
        <v>3</v>
      </c>
      <c r="H67" t="s">
        <v>59</v>
      </c>
      <c r="I67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68" spans="1:9" x14ac:dyDescent="0.3">
      <c r="A68" s="11" t="s">
        <v>140</v>
      </c>
      <c r="B68" t="s">
        <v>139</v>
      </c>
      <c r="C68" t="s">
        <v>119</v>
      </c>
      <c r="D68" t="s">
        <v>86</v>
      </c>
      <c r="E68" s="12">
        <v>1</v>
      </c>
      <c r="F68" s="12" t="s">
        <v>145</v>
      </c>
      <c r="G68" s="12">
        <v>1</v>
      </c>
      <c r="H68" t="s">
        <v>88</v>
      </c>
      <c r="I68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69" spans="1:9" x14ac:dyDescent="0.3">
      <c r="A69" s="11" t="s">
        <v>140</v>
      </c>
      <c r="B69" t="s">
        <v>139</v>
      </c>
      <c r="C69" t="s">
        <v>119</v>
      </c>
      <c r="D69" t="s">
        <v>89</v>
      </c>
      <c r="E69" s="12">
        <v>0</v>
      </c>
      <c r="F69" s="12" t="s">
        <v>145</v>
      </c>
      <c r="G69" s="12">
        <v>3</v>
      </c>
      <c r="H69" t="s">
        <v>85</v>
      </c>
      <c r="I69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70" spans="1:9" x14ac:dyDescent="0.3">
      <c r="A70" s="11" t="s">
        <v>141</v>
      </c>
      <c r="B70" t="s">
        <v>139</v>
      </c>
      <c r="C70" t="s">
        <v>142</v>
      </c>
      <c r="D70" t="s">
        <v>92</v>
      </c>
      <c r="E70" s="12">
        <v>1</v>
      </c>
      <c r="F70" s="12" t="s">
        <v>145</v>
      </c>
      <c r="G70" s="12">
        <v>2</v>
      </c>
      <c r="H70" t="s">
        <v>82</v>
      </c>
      <c r="I70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71" spans="1:9" x14ac:dyDescent="0.3">
      <c r="A71" s="11" t="s">
        <v>141</v>
      </c>
      <c r="B71" t="s">
        <v>139</v>
      </c>
      <c r="C71" t="s">
        <v>142</v>
      </c>
      <c r="D71" t="s">
        <v>83</v>
      </c>
      <c r="E71" s="12">
        <v>1</v>
      </c>
      <c r="F71" s="12" t="s">
        <v>145</v>
      </c>
      <c r="G71" s="12">
        <v>1</v>
      </c>
      <c r="H71" t="s">
        <v>91</v>
      </c>
      <c r="I71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72" spans="1:9" x14ac:dyDescent="0.3">
      <c r="A72" s="11" t="s">
        <v>143</v>
      </c>
      <c r="B72" t="s">
        <v>139</v>
      </c>
      <c r="C72" t="s">
        <v>13</v>
      </c>
      <c r="D72" t="s">
        <v>76</v>
      </c>
      <c r="E72" s="12">
        <v>0</v>
      </c>
      <c r="F72" s="12" t="s">
        <v>145</v>
      </c>
      <c r="G72" s="12">
        <v>2</v>
      </c>
      <c r="H72" t="s">
        <v>78</v>
      </c>
      <c r="I72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  <row r="73" spans="1:9" x14ac:dyDescent="0.3">
      <c r="A73" s="11" t="s">
        <v>143</v>
      </c>
      <c r="B73" t="s">
        <v>139</v>
      </c>
      <c r="C73" t="s">
        <v>13</v>
      </c>
      <c r="D73" t="s">
        <v>79</v>
      </c>
      <c r="E73" s="12">
        <v>0</v>
      </c>
      <c r="F73" s="12" t="s">
        <v>145</v>
      </c>
      <c r="G73" s="12">
        <v>3</v>
      </c>
      <c r="H73" t="s">
        <v>75</v>
      </c>
      <c r="I73" s="12">
        <f>IF(OR(Tabela_33464[[#This Row],[Placar Mandante]]="",Tabela_33464[[#This Row],[Placar Visitante]]="",Tabela_3[[#This Row],[Placar Mandante]]="",Tabela_3[[#This Row],[Placar Visitante]]=""),0,
IF(AND(Tabela_33464[[#This Row],[Placar Mandante]]=Tabela_3[[#This Row],[Placar Mandante]],Tabela_33464[[#This Row],[Placar Visitante]]=Tabela_3[[#This Row],[Placar Visitante]]),3,
IF(SIGN(Tabela_33464[[#This Row],[Placar Mandante]]-Tabela_33464[[#This Row],[Placar Visitante]])=SIGN(Tabela_3[[#This Row],[Placar Mandante]]-Tabela_3[[#This Row],[Placar Visitante]]),1,0)))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276D09-490B-4637-AC88-3CAAB0EE58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77</vt:i4>
      </vt:variant>
      <vt:variant>
        <vt:lpstr>Intervalos Nomeados</vt:lpstr>
      </vt:variant>
      <vt:variant>
        <vt:i4>1</vt:i4>
      </vt:variant>
    </vt:vector>
  </HeadingPairs>
  <TitlesOfParts>
    <vt:vector size="78" baseType="lpstr">
      <vt:lpstr>Resultado Real</vt:lpstr>
      <vt:lpstr>Ranking</vt:lpstr>
      <vt:lpstr>Layout Compartilhável</vt:lpstr>
      <vt:lpstr>Macro Palpite</vt:lpstr>
      <vt:lpstr>Agnaldo</vt:lpstr>
      <vt:lpstr>Alessandro Pignata</vt:lpstr>
      <vt:lpstr>Allan Ribeiro</vt:lpstr>
      <vt:lpstr>Benjamin Cavallari</vt:lpstr>
      <vt:lpstr>Breno</vt:lpstr>
      <vt:lpstr>Bruno Firmino</vt:lpstr>
      <vt:lpstr>Caique Pereira</vt:lpstr>
      <vt:lpstr>Carlos Malta</vt:lpstr>
      <vt:lpstr>Carlos (Grilo)</vt:lpstr>
      <vt:lpstr>Carlos Rocha (Carlinho)</vt:lpstr>
      <vt:lpstr>Claudiomar Belao</vt:lpstr>
      <vt:lpstr>Daniel Batista</vt:lpstr>
      <vt:lpstr>Daniel Marroni</vt:lpstr>
      <vt:lpstr>Danilo Devico</vt:lpstr>
      <vt:lpstr>Dercio Batista</vt:lpstr>
      <vt:lpstr>Dionisio Junior</vt:lpstr>
      <vt:lpstr>Dirce Batista</vt:lpstr>
      <vt:lpstr>Dirceu Duarte</vt:lpstr>
      <vt:lpstr>Eduardo Colli</vt:lpstr>
      <vt:lpstr>Emerson Batta</vt:lpstr>
      <vt:lpstr>Eneias Aguiar</vt:lpstr>
      <vt:lpstr>Fabio Resende</vt:lpstr>
      <vt:lpstr>Felipe Gambini</vt:lpstr>
      <vt:lpstr>Gabriel Cavallari</vt:lpstr>
      <vt:lpstr>Gabriel Rubinho</vt:lpstr>
      <vt:lpstr>Gustavo Cavallari</vt:lpstr>
      <vt:lpstr>Henrique Landin</vt:lpstr>
      <vt:lpstr>Higor Frez</vt:lpstr>
      <vt:lpstr>Humberto Mozer</vt:lpstr>
      <vt:lpstr>Iann Altimari</vt:lpstr>
      <vt:lpstr>Jean Rocha</vt:lpstr>
      <vt:lpstr>Jonatas Andrade</vt:lpstr>
      <vt:lpstr>Julio Lima</vt:lpstr>
      <vt:lpstr>Junior (Goiaba)</vt:lpstr>
      <vt:lpstr>Kayky Rocha</vt:lpstr>
      <vt:lpstr>Kim</vt:lpstr>
      <vt:lpstr>Lincoln Macena</vt:lpstr>
      <vt:lpstr>Luan Altimari</vt:lpstr>
      <vt:lpstr>Lucas Aguiar</vt:lpstr>
      <vt:lpstr>Lucas Altimari</vt:lpstr>
      <vt:lpstr>Lucas Mota</vt:lpstr>
      <vt:lpstr>Luis Alfredo</vt:lpstr>
      <vt:lpstr>Luis Gustavo Pereira</vt:lpstr>
      <vt:lpstr>Luiz Belmiro</vt:lpstr>
      <vt:lpstr>Luiz Fernando</vt:lpstr>
      <vt:lpstr>Marcos Ferreira</vt:lpstr>
      <vt:lpstr>Marcão Penap</vt:lpstr>
      <vt:lpstr>Marlon Batista</vt:lpstr>
      <vt:lpstr>Mauro Paladino</vt:lpstr>
      <vt:lpstr>Murilo Ferreira</vt:lpstr>
      <vt:lpstr>Murilo Rocha</vt:lpstr>
      <vt:lpstr>Ortega</vt:lpstr>
      <vt:lpstr>Osmar Locatelli</vt:lpstr>
      <vt:lpstr>Paulinho Altimari</vt:lpstr>
      <vt:lpstr>Paulo Lalli</vt:lpstr>
      <vt:lpstr>Pedro Almeida</vt:lpstr>
      <vt:lpstr>Rafael Cavallari</vt:lpstr>
      <vt:lpstr>Rafael de Oliveira</vt:lpstr>
      <vt:lpstr>Raul</vt:lpstr>
      <vt:lpstr>Renato Locatelli</vt:lpstr>
      <vt:lpstr>Ricardo Alonso</vt:lpstr>
      <vt:lpstr>Rogério Penap</vt:lpstr>
      <vt:lpstr>Ronan</vt:lpstr>
      <vt:lpstr>Rordão</vt:lpstr>
      <vt:lpstr>Tadeu</vt:lpstr>
      <vt:lpstr>Théo Cavallari</vt:lpstr>
      <vt:lpstr>Thiago Alberto</vt:lpstr>
      <vt:lpstr>Thiago de Paula</vt:lpstr>
      <vt:lpstr>Tiago Marques</vt:lpstr>
      <vt:lpstr>Vitor Oliveira</vt:lpstr>
      <vt:lpstr>Wesley Alonso</vt:lpstr>
      <vt:lpstr>Willian Mochi</vt:lpstr>
      <vt:lpstr>Wilson Beninca</vt:lpstr>
      <vt:lpstr>Ortega!Area_de_impressao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Mota</dc:creator>
  <cp:lastModifiedBy>RAFAEL SILVA CAVALLARI</cp:lastModifiedBy>
  <dcterms:created xsi:type="dcterms:W3CDTF">2026-05-18T14:35:36Z</dcterms:created>
  <dcterms:modified xsi:type="dcterms:W3CDTF">2026-06-11T16:52:16Z</dcterms:modified>
</cp:coreProperties>
</file>